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hidePivotFieldList="1" autoCompressPictures="0"/>
  <mc:AlternateContent xmlns:mc="http://schemas.openxmlformats.org/markup-compatibility/2006">
    <mc:Choice Requires="x15">
      <x15ac:absPath xmlns:x15ac="http://schemas.microsoft.com/office/spreadsheetml/2010/11/ac" url="https://wedoprojects.sharepoint.com/sites/WeDo-Projects/Shared/02. Proposals/IQS_Health_2026_shared/Budget/"/>
    </mc:Choice>
  </mc:AlternateContent>
  <xr:revisionPtr revIDLastSave="8" documentId="109_{015FA7AB-0831-4147-9836-02FD6EFB5D25}" xr6:coauthVersionLast="47" xr6:coauthVersionMax="47" xr10:uidLastSave="{C6CEBB24-C89C-8049-B0A8-0A4543FFE438}"/>
  <bookViews>
    <workbookView xWindow="0" yWindow="780" windowWidth="34200" windowHeight="20220" tabRatio="448" xr2:uid="{00000000-000D-0000-FFFF-FFFF00000000}"/>
  </bookViews>
  <sheets>
    <sheet name="budget" sheetId="9" r:id="rId1"/>
    <sheet name="gantt" sheetId="10" r:id="rId2"/>
    <sheet name="INPUTS" sheetId="8" state="hidden" r:id="rId3"/>
    <sheet name="TRAVEL" sheetId="6" state="hidden" r:id="rId4"/>
  </sheet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27" i="9" l="1"/>
  <c r="M27" i="9"/>
  <c r="K27" i="9"/>
  <c r="L27" i="9"/>
  <c r="E27" i="9"/>
  <c r="F27" i="9"/>
  <c r="G27" i="9"/>
  <c r="H27" i="9"/>
  <c r="I27" i="9"/>
  <c r="J27" i="9"/>
  <c r="D27" i="9"/>
  <c r="C27" i="9"/>
  <c r="O27" i="9" s="1"/>
  <c r="C23" i="9"/>
  <c r="C35" i="9" s="1"/>
  <c r="D23" i="9"/>
  <c r="E23" i="9"/>
  <c r="F23" i="9"/>
  <c r="G23" i="9"/>
  <c r="H23" i="9"/>
  <c r="I23" i="9"/>
  <c r="J23" i="9"/>
  <c r="K23" i="9"/>
  <c r="L23" i="9"/>
  <c r="M23" i="9"/>
  <c r="N23" i="9"/>
  <c r="M26" i="9"/>
  <c r="O26" i="9" s="1"/>
  <c r="O36" i="9"/>
  <c r="O25" i="9"/>
  <c r="O28" i="9"/>
  <c r="O29" i="9"/>
  <c r="O30" i="9"/>
  <c r="O31" i="9"/>
  <c r="O32" i="9"/>
  <c r="O33" i="9"/>
  <c r="O34" i="9"/>
  <c r="O24" i="9"/>
  <c r="P34" i="9"/>
  <c r="P33" i="9"/>
  <c r="P32" i="9"/>
  <c r="P31" i="9"/>
  <c r="P30" i="9"/>
  <c r="P29" i="9"/>
  <c r="P28" i="9"/>
  <c r="P27" i="9"/>
  <c r="P26" i="9"/>
  <c r="P25" i="9"/>
  <c r="P24" i="9"/>
  <c r="P23" i="9"/>
  <c r="L17" i="9"/>
  <c r="K17" i="9"/>
  <c r="J17" i="9"/>
  <c r="I17" i="9"/>
  <c r="H17" i="9"/>
  <c r="G17" i="9"/>
  <c r="F17" i="9"/>
  <c r="E17" i="9"/>
  <c r="D17" i="9"/>
  <c r="C17" i="9"/>
  <c r="O4" i="9"/>
  <c r="O5" i="9"/>
  <c r="O6" i="9"/>
  <c r="O7" i="9"/>
  <c r="O9" i="9"/>
  <c r="O10" i="9"/>
  <c r="O11" i="9"/>
  <c r="O12" i="9"/>
  <c r="D13" i="9"/>
  <c r="D21" i="9" s="1"/>
  <c r="D22" i="9" s="1"/>
  <c r="E13" i="9"/>
  <c r="E21" i="9" s="1"/>
  <c r="E44" i="9" s="1"/>
  <c r="F13" i="9"/>
  <c r="F21" i="9" s="1"/>
  <c r="F44" i="9" s="1"/>
  <c r="G13" i="9"/>
  <c r="G21" i="9" s="1"/>
  <c r="G44" i="9" s="1"/>
  <c r="H13" i="9"/>
  <c r="H21" i="9" s="1"/>
  <c r="H44" i="9" s="1"/>
  <c r="I13" i="9"/>
  <c r="I21" i="9" s="1"/>
  <c r="I44" i="9" s="1"/>
  <c r="J13" i="9"/>
  <c r="J21" i="9" s="1"/>
  <c r="J44" i="9" s="1"/>
  <c r="K13" i="9"/>
  <c r="K21" i="9" s="1"/>
  <c r="K44" i="9" s="1"/>
  <c r="L13" i="9"/>
  <c r="L21" i="9" s="1"/>
  <c r="L22" i="9" s="1"/>
  <c r="M13" i="9"/>
  <c r="M21" i="9" s="1"/>
  <c r="M44" i="9" s="1"/>
  <c r="N13" i="9"/>
  <c r="N21" i="9" s="1"/>
  <c r="N44" i="9" s="1"/>
  <c r="C13" i="9"/>
  <c r="O3" i="9"/>
  <c r="C21" i="9" l="1"/>
  <c r="C44" i="9" s="1"/>
  <c r="N35" i="9"/>
  <c r="F35" i="9"/>
  <c r="M35" i="9"/>
  <c r="E35" i="9"/>
  <c r="L35" i="9"/>
  <c r="L46" i="9" s="1"/>
  <c r="D35" i="9"/>
  <c r="D46" i="9" s="1"/>
  <c r="O23" i="9"/>
  <c r="L44" i="9"/>
  <c r="D44" i="9"/>
  <c r="O21" i="9"/>
  <c r="J35" i="9"/>
  <c r="I35" i="9"/>
  <c r="H35" i="9"/>
  <c r="K35" i="9"/>
  <c r="C22" i="9"/>
  <c r="C46" i="9" s="1"/>
  <c r="H22" i="9"/>
  <c r="G22" i="9"/>
  <c r="K22" i="9"/>
  <c r="J22" i="9"/>
  <c r="E22" i="9"/>
  <c r="I22" i="9"/>
  <c r="I46" i="9" s="1"/>
  <c r="G35" i="9"/>
  <c r="M22" i="9"/>
  <c r="M46" i="9" s="1"/>
  <c r="F22" i="9"/>
  <c r="N22" i="9"/>
  <c r="O13" i="9"/>
  <c r="P14" i="9" s="1"/>
  <c r="K46" i="9" l="1"/>
  <c r="H46" i="9"/>
  <c r="F46" i="9"/>
  <c r="O44" i="9"/>
  <c r="N46" i="9"/>
  <c r="G46" i="9"/>
  <c r="J37" i="9"/>
  <c r="J39" i="9" s="1"/>
  <c r="J40" i="9" s="1"/>
  <c r="J43" i="9" s="1"/>
  <c r="J46" i="9"/>
  <c r="E37" i="9"/>
  <c r="E39" i="9" s="1"/>
  <c r="E40" i="9" s="1"/>
  <c r="E43" i="9" s="1"/>
  <c r="E46" i="9"/>
  <c r="D37" i="9"/>
  <c r="D39" i="9" s="1"/>
  <c r="D40" i="9" s="1"/>
  <c r="D43" i="9" s="1"/>
  <c r="L37" i="9"/>
  <c r="L39" i="9" s="1"/>
  <c r="L40" i="9" s="1"/>
  <c r="L43" i="9" s="1"/>
  <c r="M37" i="9"/>
  <c r="M39" i="9" s="1"/>
  <c r="C37" i="9"/>
  <c r="C39" i="9" s="1"/>
  <c r="C40" i="9" s="1"/>
  <c r="O22" i="9"/>
  <c r="H37" i="9"/>
  <c r="H39" i="9" s="1"/>
  <c r="H40" i="9" s="1"/>
  <c r="H43" i="9" s="1"/>
  <c r="O35" i="9"/>
  <c r="G37" i="9"/>
  <c r="G39" i="9" s="1"/>
  <c r="G40" i="9" s="1"/>
  <c r="G43" i="9" s="1"/>
  <c r="K37" i="9"/>
  <c r="K39" i="9" s="1"/>
  <c r="K40" i="9" s="1"/>
  <c r="K43" i="9" s="1"/>
  <c r="I37" i="9"/>
  <c r="I39" i="9" s="1"/>
  <c r="I40" i="9" s="1"/>
  <c r="I43" i="9" s="1"/>
  <c r="N37" i="9"/>
  <c r="N39" i="9" s="1"/>
  <c r="N40" i="9" s="1"/>
  <c r="N43" i="9" s="1"/>
  <c r="F37" i="9"/>
  <c r="P4" i="9"/>
  <c r="P5" i="9"/>
  <c r="P6" i="9"/>
  <c r="P3" i="9"/>
  <c r="P7" i="9"/>
  <c r="P12" i="9"/>
  <c r="P13" i="9"/>
  <c r="P10" i="9"/>
  <c r="P9" i="9"/>
  <c r="P8" i="9"/>
  <c r="P11" i="9"/>
  <c r="O37" i="9" l="1"/>
  <c r="M40" i="9"/>
  <c r="C43" i="9"/>
  <c r="F39" i="9"/>
  <c r="O39" i="9" s="1"/>
  <c r="M43" i="9" l="1"/>
  <c r="F40" i="9"/>
  <c r="O40" i="9" s="1"/>
  <c r="Q40" i="9" s="1"/>
  <c r="P37" i="9" l="1"/>
  <c r="D42" i="9"/>
  <c r="L42" i="9"/>
  <c r="N42" i="9"/>
  <c r="C42" i="9"/>
  <c r="H42" i="9"/>
  <c r="I42" i="9"/>
  <c r="J42" i="9"/>
  <c r="K42" i="9"/>
  <c r="E42" i="9"/>
  <c r="F42" i="9"/>
  <c r="G42" i="9"/>
  <c r="M42" i="9"/>
  <c r="P35" i="9"/>
  <c r="P22" i="9"/>
  <c r="F43" i="9"/>
  <c r="O6" i="8" l="1"/>
  <c r="K6" i="8" l="1"/>
  <c r="J6" i="8" l="1"/>
  <c r="D8" i="8" l="1"/>
  <c r="D30" i="8" s="1"/>
  <c r="E8" i="8"/>
  <c r="E30" i="8" s="1"/>
  <c r="H8" i="8"/>
  <c r="H30" i="8" s="1"/>
  <c r="I8" i="8"/>
  <c r="I30" i="8" s="1"/>
  <c r="J8" i="8"/>
  <c r="J30" i="8" s="1"/>
  <c r="K8" i="8"/>
  <c r="K30" i="8" s="1"/>
  <c r="L8" i="8"/>
  <c r="L30" i="8" s="1"/>
  <c r="O8" i="8"/>
  <c r="O30" i="8" s="1"/>
  <c r="P8" i="8"/>
  <c r="P30" i="8" s="1"/>
  <c r="Q8" i="8"/>
  <c r="Q30" i="8" s="1"/>
  <c r="G6" i="8"/>
  <c r="G8" i="8" s="1"/>
  <c r="G30" i="8" s="1"/>
  <c r="N6" i="8" l="1"/>
  <c r="N8" i="8" s="1"/>
  <c r="N30" i="8" s="1"/>
  <c r="M6" i="8" l="1"/>
  <c r="M8" i="8" s="1"/>
  <c r="M30" i="8" s="1"/>
  <c r="F6" i="8" l="1"/>
  <c r="F8" i="8" s="1"/>
  <c r="F30" i="8" s="1"/>
  <c r="C6" i="8" l="1"/>
  <c r="C8" i="8" s="1"/>
  <c r="C30" i="8" s="1"/>
  <c r="C43" i="8" l="1"/>
  <c r="G15" i="6" l="1"/>
  <c r="R15" i="6"/>
  <c r="E15" i="6"/>
  <c r="F15" i="6"/>
  <c r="H15" i="6"/>
  <c r="I15" i="6"/>
  <c r="J15" i="6"/>
  <c r="K15" i="6"/>
  <c r="L15" i="6"/>
  <c r="M15" i="6"/>
  <c r="N15" i="6"/>
  <c r="O15" i="6"/>
  <c r="D15" i="6"/>
  <c r="H13" i="6"/>
  <c r="I13" i="6"/>
  <c r="J13" i="6"/>
  <c r="K13" i="6"/>
  <c r="L13" i="6"/>
  <c r="M13" i="6"/>
  <c r="N13" i="6"/>
  <c r="O13" i="6"/>
  <c r="E13" i="6"/>
  <c r="D13" i="6"/>
  <c r="G31" i="6"/>
  <c r="H31" i="6"/>
  <c r="P6" i="6"/>
  <c r="I31" i="6"/>
  <c r="K31" i="6"/>
  <c r="L31" i="6"/>
  <c r="M31" i="6"/>
  <c r="G32" i="6"/>
  <c r="H32" i="6"/>
  <c r="P7" i="6"/>
  <c r="I32" i="6"/>
  <c r="K32" i="6"/>
  <c r="L32" i="6"/>
  <c r="M32" i="6"/>
  <c r="G33" i="6"/>
  <c r="H33" i="6"/>
  <c r="I33" i="6"/>
  <c r="K33" i="6"/>
  <c r="L33" i="6"/>
  <c r="M33" i="6"/>
  <c r="G34" i="6"/>
  <c r="H34" i="6"/>
  <c r="I34" i="6"/>
  <c r="K34" i="6"/>
  <c r="L34" i="6"/>
  <c r="M34" i="6"/>
  <c r="G35" i="6"/>
  <c r="H35" i="6"/>
  <c r="I35" i="6"/>
  <c r="K35" i="6"/>
  <c r="L35" i="6"/>
  <c r="M35" i="6"/>
  <c r="G36" i="6"/>
  <c r="H36" i="6"/>
  <c r="I36" i="6"/>
  <c r="K36" i="6"/>
  <c r="L36" i="6"/>
  <c r="M36" i="6"/>
  <c r="G37" i="6"/>
  <c r="H37" i="6"/>
  <c r="I37" i="6"/>
  <c r="K37" i="6"/>
  <c r="L37" i="6"/>
  <c r="M37" i="6"/>
  <c r="G38" i="6"/>
  <c r="H38" i="6"/>
  <c r="I38" i="6"/>
  <c r="K38" i="6"/>
  <c r="L38" i="6"/>
  <c r="M38" i="6"/>
  <c r="G39" i="6"/>
  <c r="H39" i="6"/>
  <c r="P8" i="6"/>
  <c r="I39" i="6"/>
  <c r="K39" i="6"/>
  <c r="L39" i="6"/>
  <c r="M39" i="6"/>
  <c r="G40" i="6"/>
  <c r="H40" i="6"/>
  <c r="P9" i="6"/>
  <c r="I40" i="6"/>
  <c r="K40" i="6"/>
  <c r="L40" i="6"/>
  <c r="M40" i="6"/>
  <c r="G41" i="6"/>
  <c r="H41" i="6"/>
  <c r="P10" i="6"/>
  <c r="I41" i="6"/>
  <c r="K41" i="6"/>
  <c r="L41" i="6"/>
  <c r="M41" i="6"/>
  <c r="G42" i="6"/>
  <c r="H42" i="6"/>
  <c r="I42" i="6"/>
  <c r="K42" i="6"/>
  <c r="L42" i="6"/>
  <c r="M42" i="6"/>
  <c r="G43" i="6"/>
  <c r="H43" i="6"/>
  <c r="I43" i="6"/>
  <c r="K43" i="6"/>
  <c r="L43" i="6"/>
  <c r="M43" i="6"/>
  <c r="G44" i="6"/>
  <c r="H44" i="6"/>
  <c r="I44" i="6"/>
  <c r="K44" i="6"/>
  <c r="L44" i="6"/>
  <c r="M44" i="6"/>
  <c r="G45" i="6"/>
  <c r="H45" i="6"/>
  <c r="I45" i="6"/>
  <c r="K45" i="6"/>
  <c r="L45" i="6"/>
  <c r="M45" i="6"/>
  <c r="G46" i="6"/>
  <c r="H46" i="6"/>
  <c r="L46" i="6"/>
  <c r="M46" i="6"/>
  <c r="G47" i="6"/>
  <c r="H47" i="6"/>
  <c r="P12" i="6"/>
  <c r="I47" i="6"/>
  <c r="K47" i="6"/>
  <c r="L47" i="6"/>
  <c r="M47" i="6"/>
  <c r="M48" i="6"/>
  <c r="P15" i="6"/>
  <c r="S15" i="6"/>
  <c r="T15" i="6"/>
  <c r="C60" i="6"/>
  <c r="C61" i="6"/>
  <c r="C52" i="6"/>
  <c r="C53" i="6"/>
  <c r="C54" i="6"/>
  <c r="N47" i="6"/>
  <c r="P47" i="6"/>
  <c r="R47" i="6"/>
  <c r="C55" i="6"/>
  <c r="C56" i="6"/>
  <c r="P11" i="6"/>
  <c r="I46" i="6"/>
  <c r="N46" i="6"/>
  <c r="N45" i="6"/>
  <c r="N44" i="6"/>
  <c r="N43" i="6"/>
  <c r="N42" i="6"/>
  <c r="N41" i="6"/>
  <c r="N40" i="6"/>
  <c r="N39" i="6"/>
  <c r="N38" i="6"/>
  <c r="N37" i="6"/>
  <c r="N36" i="6"/>
  <c r="N35" i="6"/>
  <c r="N34" i="6"/>
  <c r="N33" i="6"/>
  <c r="N32" i="6"/>
  <c r="N31" i="6"/>
  <c r="G13" i="6"/>
  <c r="F13" i="6"/>
  <c r="R3" i="6"/>
  <c r="R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tc={FAE9EF37-24A7-F941-8A17-51FE2B22043A}</author>
    <author>tc={3C31461D-D997-E740-B1E2-1C9F4B65924A}</author>
    <author>tc={D188C9A6-F73E-1243-8526-9B0F80B29945}</author>
    <author>tc={079971EC-817D-6F41-8BA7-9E5CD1ACD71B}</author>
    <author>tc={10A2C25E-7B75-C74D-A691-D914145B8959}</author>
    <author>tc={3AE7DE82-454E-6940-ADB8-0EA499C960AE}</author>
    <author>tc={B47F216E-51F2-124F-8203-98D0746B00BF}</author>
    <author>tc={A9E9078A-33C5-6F45-99A5-11646207A95A}</author>
    <author>tc={A70C3E8D-651B-B148-9885-D0A0B64CA120}</author>
    <author>tc={88186A71-D6D9-9546-AFE1-B436A3983B84}</author>
    <author>tc={7CB54C7B-6692-9644-A758-2074C626E054}</author>
    <author>tc={E1A668DB-4D34-C94C-B33C-FD5E653E9E27}</author>
    <author>tc={674695AF-EE74-2B4D-AAF6-1AB3A0F79B03}</author>
    <author>tc={2FFAFB20-A1B8-B946-9FC4-A1A2BFE6F770}</author>
    <author>tc={58FFBA5D-0198-654A-9AED-4C7F005797B6}</author>
    <author>tc={69F9F628-3640-BF42-8493-A41611BFD93B}</author>
    <author>tc={3B54EB2D-BED3-4C4E-959C-FB2DE81022EA}</author>
    <author>tc={87DF75A1-9BF4-6145-8BC4-9BAE21BA0F8A}</author>
  </authors>
  <commentList>
    <comment ref="C11" authorId="0" shapeId="0" xr:uid="{FAE9EF37-24A7-F941-8A17-51FE2B22043A}">
      <text>
        <t>[Threaded comment]
Your version of Excel allows you to read this threaded comment; however, any edits to it will get removed if the file is opened in a newer version of Excel. Learn more: https://go.microsoft.com/fwlink/?linkid=870924
Comment:
    PI's will travel abroad once a year</t>
      </text>
    </comment>
    <comment ref="L11" authorId="1" shapeId="0" xr:uid="{3C31461D-D997-E740-B1E2-1C9F4B65924A}">
      <text>
        <t>[Threaded comment]
Your version of Excel allows you to read this threaded comment; however, any edits to it will get removed if the file is opened in a newer version of Excel. Learn more: https://go.microsoft.com/fwlink/?linkid=870924
Comment:
    Tarvel costs (2x per year) to partner countries</t>
      </text>
    </comment>
    <comment ref="C12" authorId="2" shapeId="0" xr:uid="{D188C9A6-F73E-1243-8526-9B0F80B29945}">
      <text>
        <t>[Threaded comment]
Your version of Excel allows you to read this threaded comment; however, any edits to it will get removed if the file is opened in a newer version of Excel. Learn more: https://go.microsoft.com/fwlink/?linkid=870924
Comment:
    2 Advisory bord meeting in Israel</t>
      </text>
    </comment>
    <comment ref="L12" authorId="3" shapeId="0" xr:uid="{079971EC-817D-6F41-8BA7-9E5CD1ACD71B}">
      <text>
        <t>[Threaded comment]
Your version of Excel allows you to read this threaded comment; however, any edits to it will get removed if the file is opened in a newer version of Excel. Learn more: https://go.microsoft.com/fwlink/?linkid=870924
Comment:
    Relation-oriented costs</t>
      </text>
    </comment>
    <comment ref="C14" authorId="4" shapeId="0" xr:uid="{10A2C25E-7B75-C74D-A691-D914145B8959}">
      <text>
        <t>[Threaded comment]
Your version of Excel allows you to read this threaded comment; however, any edits to it will get removed if the file is opened in a newer version of Excel. Learn more: https://go.microsoft.com/fwlink/?linkid=870924
Comment:
    4 computers</t>
      </text>
    </comment>
    <comment ref="Q14" authorId="5" shapeId="0" xr:uid="{3AE7DE82-454E-6940-ADB8-0EA499C960AE}">
      <text>
        <t>[Threaded comment]
Your version of Excel allows you to read this threaded comment; however, any edits to it will get removed if the file is opened in a newer version of Excel. Learn more: https://go.microsoft.com/fwlink/?linkid=870924
Comment:
    Laptop</t>
      </text>
    </comment>
    <comment ref="C20" authorId="6" shapeId="0" xr:uid="{B47F216E-51F2-124F-8203-98D0746B00BF}">
      <text>
        <t>[Threaded comment]
Your version of Excel allows you to read this threaded comment; however, any edits to it will get removed if the file is opened in a newer version of Excel. Learn more: https://go.microsoft.com/fwlink/?linkid=870924
Comment:
    Publications &amp; Editing</t>
      </text>
    </comment>
    <comment ref="L20" authorId="7" shapeId="0" xr:uid="{A9E9078A-33C5-6F45-99A5-11646207A95A}">
      <text>
        <t>[Threaded comment]
Your version of Excel allows you to read this threaded comment; however, any edits to it will get removed if the file is opened in a newer version of Excel. Learn more: https://go.microsoft.com/fwlink/?linkid=870924
Comment:
    Editing paper scientifique journal</t>
      </text>
    </comment>
    <comment ref="L23" authorId="8" shapeId="0" xr:uid="{A70C3E8D-651B-B148-9885-D0A0B64CA120}">
      <text>
        <t>[Threaded comment]
Your version of Excel allows you to read this threaded comment; however, any edits to it will get removed if the file is opened in a newer version of Excel. Learn more: https://go.microsoft.com/fwlink/?linkid=870924
Comment:
    Printing + statistics</t>
      </text>
    </comment>
    <comment ref="E39" authorId="9" shapeId="0" xr:uid="{88186A71-D6D9-9546-AFE1-B436A3983B84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Estimated by BIU 97,20</t>
      </text>
    </comment>
    <comment ref="C43" authorId="10" shapeId="0" xr:uid="{7CB54C7B-6692-9644-A758-2074C626E054}">
      <text>
        <t>[Threaded comment]
Your version of Excel allows you to read this threaded comment; however, any edits to it will get removed if the file is opened in a newer version of Excel. Learn more: https://go.microsoft.com/fwlink/?linkid=870924
Comment:
    workshop in HU + Helsinki</t>
      </text>
    </comment>
    <comment ref="G47" authorId="11" shapeId="0" xr:uid="{E1A668DB-4D34-C94C-B33C-FD5E653E9E27}">
      <text>
        <t>[Threaded comment]
Your version of Excel allows you to read this threaded comment; however, any edits to it will get removed if the file is opened in a newer version of Excel. Learn more: https://go.microsoft.com/fwlink/?linkid=870924
Comment:
    Laboratory analyses</t>
      </text>
    </comment>
    <comment ref="H47" authorId="12" shapeId="0" xr:uid="{674695AF-EE74-2B4D-AAF6-1AB3A0F79B0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1.500 EUR for survey license
</t>
      </text>
    </comment>
    <comment ref="F50" authorId="13" shapeId="0" xr:uid="{2FFAFB20-A1B8-B946-9FC4-A1A2BFE6F770}">
      <text>
        <t>[Threaded comment]
Your version of Excel allows you to read this threaded comment; however, any edits to it will get removed if the file is opened in a newer version of Excel. Learn more: https://go.microsoft.com/fwlink/?linkid=870924
Comment:
    Laptops</t>
      </text>
    </comment>
    <comment ref="L53" authorId="14" shapeId="0" xr:uid="{58FFBA5D-0198-654A-9AED-4C7F005797B6}">
      <text>
        <t>[Threaded comment]
Your version of Excel allows you to read this threaded comment; however, any edits to it will get removed if the file is opened in a newer version of Excel. Learn more: https://go.microsoft.com/fwlink/?linkid=870924
Comment:
    Printing + statistics</t>
      </text>
    </comment>
    <comment ref="C55" authorId="15" shapeId="0" xr:uid="{69F9F628-3640-BF42-8493-A41611BFD93B}">
      <text>
        <t>[Threaded comment]
Your version of Excel allows you to read this threaded comment; however, any edits to it will get removed if the file is opened in a newer version of Excel. Learn more: https://go.microsoft.com/fwlink/?linkid=870924
Comment:
    Setting: Maccabi Health care services (HMO)</t>
      </text>
    </comment>
    <comment ref="F55" authorId="16" shapeId="0" xr:uid="{3B54EB2D-BED3-4C4E-959C-FB2DE81022EA}">
      <text>
        <t>[Threaded comment]
Your version of Excel allows you to read this threaded comment; however, any edits to it will get removed if the file is opened in a newer version of Excel. Learn more: https://go.microsoft.com/fwlink/?linkid=870924
Comment:
    Intervention site</t>
      </text>
    </comment>
    <comment ref="L55" authorId="17" shapeId="0" xr:uid="{87DF75A1-9BF4-6145-8BC4-9BAE21BA0F8A}">
      <text>
        <t>[Threaded comment]
Your version of Excel allows you to read this threaded comment; however, any edits to it will get removed if the file is opened in a newer version of Excel. Learn more: https://go.microsoft.com/fwlink/?linkid=870924
Comment:
    Intervention sites
Reply:
    17000€/YEAR = 51.000€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R5" authorId="0" shapeId="0" xr:uid="{A001EC50-1760-DA4A-A8FC-2212BE4A0E1B}">
      <text>
        <r>
          <rPr>
            <b/>
            <sz val="10"/>
            <color rgb="FF000000"/>
            <rFont val="Calibri"/>
            <family val="2"/>
            <scheme val="minor"/>
          </rPr>
          <t xml:space="preserve">SAB:
</t>
        </r>
        <r>
          <rPr>
            <sz val="10"/>
            <color rgb="FF000000"/>
            <rFont val="Calibri"/>
            <family val="2"/>
            <scheme val="minor"/>
          </rPr>
          <t xml:space="preserve">· 5 total people
</t>
        </r>
        <r>
          <rPr>
            <sz val="10"/>
            <color rgb="FF000000"/>
            <rFont val="Calibri"/>
            <family val="2"/>
            <scheme val="minor"/>
          </rPr>
          <t xml:space="preserve">· 3 meetings
</t>
        </r>
        <r>
          <rPr>
            <sz val="10"/>
            <color rgb="FF000000"/>
            <rFont val="Calibri"/>
            <family val="2"/>
            <scheme val="minor"/>
          </rPr>
          <t xml:space="preserve">· All Europe-based
</t>
        </r>
      </text>
    </comment>
    <comment ref="S5" authorId="0" shapeId="0" xr:uid="{111FE2BC-9C88-4949-9064-D872D6936C93}">
      <text>
        <r>
          <rPr>
            <b/>
            <sz val="10"/>
            <color rgb="FF000000"/>
            <rFont val="Calibri"/>
            <family val="2"/>
            <scheme val="minor"/>
          </rPr>
          <t xml:space="preserve">ATs
</t>
        </r>
        <r>
          <rPr>
            <sz val="10"/>
            <color rgb="FF000000"/>
            <rFont val="Calibri"/>
            <family val="2"/>
            <scheme val="minor"/>
          </rPr>
          <t xml:space="preserve">· 2 ATs: Australia &amp; Colombia
</t>
        </r>
        <r>
          <rPr>
            <sz val="10"/>
            <color rgb="FF000000"/>
            <rFont val="Calibri"/>
            <family val="2"/>
            <scheme val="minor"/>
          </rPr>
          <t xml:space="preserve">· 3 meetings
</t>
        </r>
      </text>
    </comment>
    <comment ref="G47" authorId="0" shapeId="0" xr:uid="{5E420106-D1A4-8D4D-A360-A863C873994A}">
      <text>
        <r>
          <rPr>
            <sz val="10"/>
            <color rgb="FF000000"/>
            <rFont val="Tahoma"/>
            <family val="2"/>
          </rPr>
          <t>breakfast, finger lunch and coffee</t>
        </r>
      </text>
    </comment>
    <comment ref="R47" authorId="0" shapeId="0" xr:uid="{2F81ACF3-68C4-1744-A22A-564EA19D1DCB}">
      <text>
        <r>
          <rPr>
            <sz val="10"/>
            <color rgb="FF000000"/>
            <rFont val="Tahoma"/>
            <family val="2"/>
          </rPr>
          <t>3 SAB + 10 special attendees</t>
        </r>
      </text>
    </comment>
  </commentList>
</comments>
</file>

<file path=xl/sharedStrings.xml><?xml version="1.0" encoding="utf-8"?>
<sst xmlns="http://schemas.openxmlformats.org/spreadsheetml/2006/main" count="422" uniqueCount="272">
  <si>
    <t>IQS</t>
  </si>
  <si>
    <t>HSJD</t>
  </si>
  <si>
    <t>5RF</t>
  </si>
  <si>
    <t>RDB</t>
  </si>
  <si>
    <t>UAO</t>
  </si>
  <si>
    <t>ESADE</t>
  </si>
  <si>
    <t>BBU</t>
  </si>
  <si>
    <t>FCRI</t>
  </si>
  <si>
    <t>NTNU</t>
  </si>
  <si>
    <t>TUM</t>
  </si>
  <si>
    <t>WEDO</t>
  </si>
  <si>
    <t>UG</t>
  </si>
  <si>
    <t>TOTAL</t>
  </si>
  <si>
    <t>%</t>
  </si>
  <si>
    <t>WP1</t>
  </si>
  <si>
    <t>WP2</t>
  </si>
  <si>
    <t>WP3</t>
  </si>
  <si>
    <t>WP4</t>
  </si>
  <si>
    <t>WP5</t>
  </si>
  <si>
    <t>WP6</t>
  </si>
  <si>
    <t>WP7</t>
  </si>
  <si>
    <t>WP8</t>
  </si>
  <si>
    <t>WP9</t>
  </si>
  <si>
    <t>WP10</t>
  </si>
  <si>
    <t xml:space="preserve">Average personnel rate  </t>
  </si>
  <si>
    <t xml:space="preserve">Overhead rate  </t>
  </si>
  <si>
    <t>% EU contribution</t>
  </si>
  <si>
    <t>RTD or INNOVATION ?</t>
  </si>
  <si>
    <t>RTD</t>
  </si>
  <si>
    <t>BUDGET</t>
  </si>
  <si>
    <t>EFFORT</t>
  </si>
  <si>
    <t>PERSONNEL</t>
  </si>
  <si>
    <t>Travel &amp; Meetings (including dissemination)</t>
  </si>
  <si>
    <t>Travel SAB</t>
  </si>
  <si>
    <t>Attendance to regular joint meetings &amp; other potential joint activities</t>
  </si>
  <si>
    <t>Communication tools</t>
  </si>
  <si>
    <t>Publications in open access</t>
  </si>
  <si>
    <t>Expenses for workshops, intervention meetings, webinars, trainings</t>
  </si>
  <si>
    <t>Consumables, licenses and software</t>
  </si>
  <si>
    <t>Insurances</t>
  </si>
  <si>
    <t>Equipment</t>
  </si>
  <si>
    <t xml:space="preserve">Final Conference </t>
  </si>
  <si>
    <t>Audit certificates (only partners surpassing 430,000 funding)</t>
  </si>
  <si>
    <t>Other direct costs</t>
  </si>
  <si>
    <t>TOTAL OTHER DIRECT COSTS</t>
  </si>
  <si>
    <t>SUBCONTRACTING</t>
  </si>
  <si>
    <t>OVERHEADS</t>
  </si>
  <si>
    <t>TOTAL COSTS</t>
  </si>
  <si>
    <t>LIMIT TO FUNDING</t>
  </si>
  <si>
    <t>EC FUNDING</t>
  </si>
  <si>
    <t>Audit certificate?</t>
  </si>
  <si>
    <t>FTE</t>
  </si>
  <si>
    <t>Other costs surpassing 15% of personnel</t>
  </si>
  <si>
    <t>M2</t>
  </si>
  <si>
    <t>M4</t>
  </si>
  <si>
    <t>M6</t>
  </si>
  <si>
    <t>M8</t>
  </si>
  <si>
    <t>M10</t>
  </si>
  <si>
    <t>M12</t>
  </si>
  <si>
    <t>M14</t>
  </si>
  <si>
    <t>M16</t>
  </si>
  <si>
    <t>M18</t>
  </si>
  <si>
    <t>M20</t>
  </si>
  <si>
    <t>M22</t>
  </si>
  <si>
    <t>M24</t>
  </si>
  <si>
    <t>M26</t>
  </si>
  <si>
    <t>M28</t>
  </si>
  <si>
    <t>M30</t>
  </si>
  <si>
    <t>M32</t>
  </si>
  <si>
    <t>M34</t>
  </si>
  <si>
    <t>M36</t>
  </si>
  <si>
    <t>M38</t>
  </si>
  <si>
    <t>M40</t>
  </si>
  <si>
    <t>M42</t>
  </si>
  <si>
    <t>M44</t>
  </si>
  <si>
    <t>M46</t>
  </si>
  <si>
    <t>M48</t>
  </si>
  <si>
    <t>M50</t>
  </si>
  <si>
    <t>M52</t>
  </si>
  <si>
    <t>M54</t>
  </si>
  <si>
    <t>M56</t>
  </si>
  <si>
    <t>M58</t>
  </si>
  <si>
    <t>M60</t>
  </si>
  <si>
    <t>WP1. Conceptual framework, DDRI and cross-context measurement backbone design</t>
  </si>
  <si>
    <t xml:space="preserve">T1.1 State-of-the-art synthesis and developmental benchmarking </t>
  </si>
  <si>
    <t xml:space="preserve">T1.2 Framework specification and DDRI architecture design </t>
  </si>
  <si>
    <t>D</t>
  </si>
  <si>
    <t xml:space="preserve">T1.3 Cross-WP measurement backbone design </t>
  </si>
  <si>
    <r>
      <t>T1.4 Feasibility, burden, and implementation-ready measurement package</t>
    </r>
    <r>
      <rPr>
        <sz val="16"/>
        <color theme="1"/>
        <rFont val="Times New Roman"/>
        <family val="1"/>
      </rPr>
      <t xml:space="preserve"> </t>
    </r>
  </si>
  <si>
    <t>WP2. Data integration, harmonisation and FAIR evidence backbone</t>
  </si>
  <si>
    <t xml:space="preserve">T2.1 Data governance, access framework and project-wide DMP implementation </t>
  </si>
  <si>
    <t xml:space="preserve">T2.2 Metadata architecture, variable dictionaries and harmonisation rules </t>
  </si>
  <si>
    <t xml:space="preserve">T2.3 Cohort-data extraction, curation, cross-cohort harmonisation and cohort-linked enrichment sub-studies </t>
  </si>
  <si>
    <t xml:space="preserve">T2.4 Metadata architecture, variable dictionaries and harmonisation rules </t>
  </si>
  <si>
    <t>WP3. Early-warning markers of digital vulnerability in sensitive developmental windows</t>
  </si>
  <si>
    <t xml:space="preserve">T3.1 Study setup and implementation across study sites </t>
  </si>
  <si>
    <t xml:space="preserve">T3.2 Baseline profiling of regulatory vulnerability and digital-use patterns </t>
  </si>
  <si>
    <t xml:space="preserve">T3.3 Repeated ecological assessment of digital coping, affective dynamics, and nighttime use </t>
  </si>
  <si>
    <t xml:space="preserve">T3.4 Neurocognitive assessment across sensitive developmental windows </t>
  </si>
  <si>
    <t xml:space="preserve">T3.5 Focused exploratory neurofunctional sub-study and early-warning marker derivation </t>
  </si>
  <si>
    <t xml:space="preserve">WP4. School-based digital self-regulation, resilience and gaming literacy intervention </t>
  </si>
  <si>
    <t xml:space="preserve">T4.1 Co-design, intervention framework and school protocol finalisation </t>
  </si>
  <si>
    <t xml:space="preserve">T4.2 Intervention development, bounded gameplay component, and pilot refinement </t>
  </si>
  <si>
    <t xml:space="preserve">T4.3 Cluster-randomised school implementation in Catalonia and a complementary Romanian site </t>
  </si>
  <si>
    <t xml:space="preserve">T4.4 Cognitive/behavioural, mixed-methods and exploratory moderator analysis </t>
  </si>
  <si>
    <t xml:space="preserve">T4.5 Transfer to validation, school uptake and family-facing prevention resources </t>
  </si>
  <si>
    <t>WP5. AI use, loneliness and bounded support in young-adult transitions</t>
  </si>
  <si>
    <t xml:space="preserve">T5.1 Conceptual framework, protocol and harmonised measures </t>
  </si>
  <si>
    <t xml:space="preserve">T5.2 Co-design of bounded AI-use conditions and safeguards </t>
  </si>
  <si>
    <t>T5.3 Multi-site experimental study on AI use conditions in young adults</t>
  </si>
  <si>
    <t xml:space="preserve">T5.4 Mixed-methods follow-up on real-world AI reliance, loneliness and support substitution </t>
  </si>
  <si>
    <t xml:space="preserve">T5.5 Mechanism, moderator and simulation-parameter analysis </t>
  </si>
  <si>
    <t>WP6. School digital governance comparison and simulation</t>
  </si>
  <si>
    <t xml:space="preserve">T6.1 Governance framework and comparative mapping across school contexts </t>
  </si>
  <si>
    <t xml:space="preserve">T6.2 Comparative analysis of governance configurations and natural experiments </t>
  </si>
  <si>
    <t xml:space="preserve">T6.3 ABM scenario engine design and parameterisation using WP1–WP5 evidence </t>
  </si>
  <si>
    <t xml:space="preserve">T6.4 Simulation of alternative school digital governance scenarios </t>
  </si>
  <si>
    <t xml:space="preserve">T6.5 Transfer, interpretation and policy translation of model outputs </t>
  </si>
  <si>
    <t>WP7. Multidimensional structuring and operationalization of the DDR index</t>
  </si>
  <si>
    <t xml:space="preserve">T7.1 Cross-WP integration architecture, evidence matrix and structured comparison framework </t>
  </si>
  <si>
    <t xml:space="preserve">T7.2 Multidimensional structuring of the DDRI across settings </t>
  </si>
  <si>
    <t xml:space="preserve">T7.3 Cross-WP interpretive integration, transferability assessment and empirical–simulated comparison </t>
  </si>
  <si>
    <t xml:space="preserve">T7.4 Integrated evidence package for downstream translation </t>
  </si>
  <si>
    <t>WP8. Scale-up and policy recommendations</t>
  </si>
  <si>
    <t xml:space="preserve">T8.1 Cross-WP evidence consolidation and translational framework </t>
  </si>
  <si>
    <t xml:space="preserve">T8.2 Development of recommendation packages across governance, prevention and bounded AI-use domains </t>
  </si>
  <si>
    <t xml:space="preserve">T8.3 Scale-up readiness, uptake packaging and final transfer framework </t>
  </si>
  <si>
    <t>WP9. Impact Maximization</t>
  </si>
  <si>
    <t xml:space="preserve">T9.1 Plan for Dissemination, Communication and Exploitation </t>
  </si>
  <si>
    <t xml:space="preserve">T9.2 MILESTONES dissemination and communication tools and activities communications </t>
  </si>
  <si>
    <t xml:space="preserve">T9.3 MILESTONES engagement </t>
  </si>
  <si>
    <t xml:space="preserve">T9.4 KERs Exploitation and Legacy </t>
  </si>
  <si>
    <t xml:space="preserve">T9.5 Cluster Interface and Collaboration </t>
  </si>
  <si>
    <t>WP10. Project Management and Coordination</t>
  </si>
  <si>
    <t xml:space="preserve">T10.1 Establish and implement the project management structure </t>
  </si>
  <si>
    <t xml:space="preserve">T10.2 Day-to-day project management </t>
  </si>
  <si>
    <t xml:space="preserve">T10.3 Ethical, legal and social implications management </t>
  </si>
  <si>
    <t xml:space="preserve">T10.4 Quality management, risk management and conflict resolution </t>
  </si>
  <si>
    <t>UH</t>
  </si>
  <si>
    <t>WeDo</t>
  </si>
  <si>
    <t>BIU</t>
  </si>
  <si>
    <t>JU</t>
  </si>
  <si>
    <t>RegionH</t>
  </si>
  <si>
    <t>NUR</t>
  </si>
  <si>
    <t>AE</t>
  </si>
  <si>
    <t>EHMA</t>
  </si>
  <si>
    <t>OHE</t>
  </si>
  <si>
    <t>UA</t>
  </si>
  <si>
    <t>BFH</t>
  </si>
  <si>
    <t>CHUV</t>
  </si>
  <si>
    <t>IAPO</t>
  </si>
  <si>
    <t>CSFJA</t>
  </si>
  <si>
    <t>SAS</t>
  </si>
  <si>
    <t>Person-months</t>
  </si>
  <si>
    <t>Personnel costs (€)</t>
  </si>
  <si>
    <t>Total Personnel costs (€)</t>
  </si>
  <si>
    <t>TRAVEL</t>
  </si>
  <si>
    <t>EQUIPMENT</t>
  </si>
  <si>
    <t>OTHER COSTS</t>
  </si>
  <si>
    <t>Site</t>
  </si>
  <si>
    <t>Helsinki</t>
  </si>
  <si>
    <t>Cost of Financial Certificates</t>
  </si>
  <si>
    <t>workshop in HU</t>
  </si>
  <si>
    <t>Translation</t>
  </si>
  <si>
    <t>Consumables</t>
  </si>
  <si>
    <t>Other goods/ Services</t>
  </si>
  <si>
    <t>SUBCONTRACTORS</t>
  </si>
  <si>
    <t>INDIRECT COSTS</t>
  </si>
  <si>
    <t>Expenses for workshops and AFeCTS-SF meetings</t>
  </si>
  <si>
    <t>Translations (surveys, platform, intervention material)</t>
  </si>
  <si>
    <t>Site monitoring travel</t>
  </si>
  <si>
    <t>Audit certificates (only partners surpassing 425,000 funding)</t>
  </si>
  <si>
    <t>TRAVEL COSTS</t>
  </si>
  <si>
    <t>ES</t>
  </si>
  <si>
    <t>NL</t>
  </si>
  <si>
    <t>UK</t>
  </si>
  <si>
    <t>IT</t>
  </si>
  <si>
    <t>FR</t>
  </si>
  <si>
    <t>GENCAT</t>
  </si>
  <si>
    <t>SIRIS</t>
  </si>
  <si>
    <t>UTRECHT</t>
  </si>
  <si>
    <t>SPRU</t>
  </si>
  <si>
    <t>RER</t>
  </si>
  <si>
    <t>ARTER</t>
  </si>
  <si>
    <t>FUB</t>
  </si>
  <si>
    <t>EURECAT</t>
  </si>
  <si>
    <t>UPEC</t>
  </si>
  <si>
    <t>GPSEA</t>
  </si>
  <si>
    <t>UNIBO</t>
  </si>
  <si>
    <t>HOST</t>
  </si>
  <si>
    <t>T.Fernández</t>
  </si>
  <si>
    <t>F.Massucci</t>
  </si>
  <si>
    <t>C.Alvial</t>
  </si>
  <si>
    <t>M.Ramirez</t>
  </si>
  <si>
    <t>A.Honrado</t>
  </si>
  <si>
    <t>A.Daraio</t>
  </si>
  <si>
    <t>G.Moretti</t>
  </si>
  <si>
    <t>X.Gironés</t>
  </si>
  <si>
    <t>R.Elelman</t>
  </si>
  <si>
    <t>P.Savidan</t>
  </si>
  <si>
    <t>S. Despots</t>
  </si>
  <si>
    <t>M. Fia</t>
  </si>
  <si>
    <t>Attendes</t>
  </si>
  <si>
    <t>SAB·</t>
  </si>
  <si>
    <t>AT</t>
  </si>
  <si>
    <t>M1</t>
  </si>
  <si>
    <t>Kick-off meeting</t>
  </si>
  <si>
    <r>
      <t>GENCAT</t>
    </r>
    <r>
      <rPr>
        <sz val="10"/>
        <color theme="0"/>
        <rFont val="Calibri"/>
        <family val="2"/>
        <scheme val="minor"/>
      </rPr>
      <t xml:space="preserve"> (Barcelona)</t>
    </r>
  </si>
  <si>
    <t>M5</t>
  </si>
  <si>
    <t>C. Meeting + Local workshops</t>
  </si>
  <si>
    <r>
      <t xml:space="preserve">GPSEA </t>
    </r>
    <r>
      <rPr>
        <sz val="10"/>
        <color theme="0"/>
        <rFont val="Calibri"/>
        <family val="2"/>
        <scheme val="minor"/>
      </rPr>
      <t>(Crèteil)</t>
    </r>
  </si>
  <si>
    <t>M21</t>
  </si>
  <si>
    <t>Local workshops</t>
  </si>
  <si>
    <t>ART-ER  (Emilia Romagna)</t>
  </si>
  <si>
    <t>M25</t>
  </si>
  <si>
    <r>
      <t xml:space="preserve">FUB </t>
    </r>
    <r>
      <rPr>
        <sz val="10"/>
        <color theme="0"/>
        <rFont val="Calibri"/>
        <family val="2"/>
        <scheme val="minor"/>
      </rPr>
      <t>(Manresa)</t>
    </r>
  </si>
  <si>
    <t>I. Conference + C. Meeting</t>
  </si>
  <si>
    <r>
      <t xml:space="preserve">WEDO </t>
    </r>
    <r>
      <rPr>
        <sz val="10"/>
        <color theme="0"/>
        <rFont val="Calibri"/>
        <family val="2"/>
        <scheme val="minor"/>
      </rPr>
      <t>(Brussels)</t>
    </r>
  </si>
  <si>
    <t>Closing meeting</t>
  </si>
  <si>
    <t>GENCAT (Barcelona)</t>
  </si>
  <si>
    <t>Nº  Travels</t>
  </si>
  <si>
    <t>TOTAL TRAVEL</t>
  </si>
  <si>
    <t>Destinations</t>
  </si>
  <si>
    <t>Spain</t>
  </si>
  <si>
    <t>Host / No travel</t>
  </si>
  <si>
    <t>Italy</t>
  </si>
  <si>
    <t>No host /No travel</t>
  </si>
  <si>
    <t>Netherlands</t>
  </si>
  <si>
    <t>Host / Travel</t>
  </si>
  <si>
    <t>United Kingdom</t>
  </si>
  <si>
    <t>France</t>
  </si>
  <si>
    <t>Belgium</t>
  </si>
  <si>
    <t>Australia</t>
  </si>
  <si>
    <t>Colombia</t>
  </si>
  <si>
    <t>ORGANISATION COSTS</t>
  </si>
  <si>
    <t>Public meetings and conferences</t>
  </si>
  <si>
    <t>Consortium meetings and partners workshops</t>
  </si>
  <si>
    <t>Wedo</t>
  </si>
  <si>
    <t>Total amount</t>
  </si>
  <si>
    <t>Total attendees</t>
  </si>
  <si>
    <t>Location</t>
  </si>
  <si>
    <t>Attendees</t>
  </si>
  <si>
    <t>VENUE</t>
  </si>
  <si>
    <t>CATERING</t>
  </si>
  <si>
    <t>Material for workshops</t>
  </si>
  <si>
    <t>AVT and Other Logistic</t>
  </si>
  <si>
    <t xml:space="preserve"> Travel for SAB and guest attendees/speakers</t>
  </si>
  <si>
    <r>
      <t>WEDO</t>
    </r>
    <r>
      <rPr>
        <sz val="10"/>
        <color theme="0"/>
        <rFont val="Calibri"/>
        <family val="2"/>
        <scheme val="minor"/>
      </rPr>
      <t xml:space="preserve"> (Barcelona)</t>
    </r>
  </si>
  <si>
    <t>Barcelona</t>
  </si>
  <si>
    <t>Crèteil</t>
  </si>
  <si>
    <t>R Emilia R</t>
  </si>
  <si>
    <t>M13</t>
  </si>
  <si>
    <t>M15</t>
  </si>
  <si>
    <t>Manresa</t>
  </si>
  <si>
    <t>M19</t>
  </si>
  <si>
    <t>P. Meeting + Local workshops</t>
  </si>
  <si>
    <t>M33</t>
  </si>
  <si>
    <t xml:space="preserve">P. Meeting </t>
  </si>
  <si>
    <r>
      <t>WEDO</t>
    </r>
    <r>
      <rPr>
        <sz val="10"/>
        <color theme="0"/>
        <rFont val="Calibri"/>
        <family val="2"/>
        <scheme val="minor"/>
      </rPr>
      <t xml:space="preserve"> (Brussels)</t>
    </r>
  </si>
  <si>
    <t>Brussels</t>
  </si>
  <si>
    <t>WEDO (Barcelona)</t>
  </si>
  <si>
    <t>Catering / cost</t>
  </si>
  <si>
    <t>GPSA</t>
  </si>
  <si>
    <t>High</t>
  </si>
  <si>
    <t>Medium</t>
  </si>
  <si>
    <t>ART-ER</t>
  </si>
  <si>
    <t>Low</t>
  </si>
  <si>
    <t>Breakfast</t>
  </si>
  <si>
    <t xml:space="preserve"> Pre-Conference dinner</t>
  </si>
  <si>
    <t>Total Meetings</t>
  </si>
  <si>
    <t>Total Amount</t>
  </si>
  <si>
    <t>Meeting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</si>
</sst>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* #,##0.00\ &quot;€&quot;_-;\-* #,##0.00\ &quot;€&quot;_-;_-* &quot;-&quot;??\ &quot;€&quot;_-;_-@_-"/>
    <numFmt numFmtId="164" formatCode="0.0"/>
    <numFmt numFmtId="165" formatCode="0.0%"/>
    <numFmt numFmtId="166" formatCode="#,##0.0"/>
    <numFmt numFmtId="167" formatCode="_-* #,##0\ [$€-C0A]_-;\-* #,##0\ [$€-C0A]_-;_-* &quot;-&quot;??\ [$€-C0A]_-;_-@_-"/>
    <numFmt numFmtId="168" formatCode="#,##0\ &quot;€&quot;"/>
    <numFmt numFmtId="169" formatCode="_ [$€-2]\ * #,##0.00_ ;_ [$€-2]\ * \-#,##0.00_ ;_ [$€-2]\ * &quot;-&quot;??_ ;_ @_ "/>
    <numFmt numFmtId="170" formatCode="_ [$€-2]\ * #,##0_ ;_ [$€-2]\ * \-#,##0_ ;_ [$€-2]\ * &quot;-&quot;??_ ;_ @_ "/>
    <numFmt numFmtId="171" formatCode="#,##0.00\ &quot;€&quot;"/>
  </numFmts>
  <fonts count="4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name val="Calibri Light"/>
      <family val="2"/>
    </font>
    <font>
      <sz val="11"/>
      <color theme="1"/>
      <name val="Calibri Light"/>
      <family val="2"/>
    </font>
    <font>
      <b/>
      <sz val="11"/>
      <color indexed="8"/>
      <name val="Calibri Light"/>
      <family val="2"/>
    </font>
    <font>
      <sz val="11"/>
      <color indexed="8"/>
      <name val="Calibri Light"/>
      <family val="2"/>
    </font>
    <font>
      <b/>
      <sz val="11"/>
      <color theme="0"/>
      <name val="Calibri Light"/>
      <family val="2"/>
    </font>
    <font>
      <i/>
      <sz val="11"/>
      <color theme="1"/>
      <name val="Calibri Light"/>
      <family val="2"/>
    </font>
    <font>
      <b/>
      <sz val="12"/>
      <color indexed="8"/>
      <name val="Calibri Light"/>
      <family val="2"/>
    </font>
    <font>
      <sz val="9"/>
      <color indexed="8"/>
      <name val="Calibri Light"/>
      <family val="2"/>
    </font>
    <font>
      <sz val="10"/>
      <color indexed="9"/>
      <name val="Calibri Light"/>
      <family val="2"/>
    </font>
    <font>
      <b/>
      <sz val="10"/>
      <color theme="0"/>
      <name val="Calibri Light"/>
      <family val="2"/>
    </font>
    <font>
      <sz val="10"/>
      <color rgb="FF000000"/>
      <name val="Tahoma"/>
      <family val="2"/>
    </font>
    <font>
      <sz val="12"/>
      <color theme="1"/>
      <name val="Cambria"/>
      <family val="2"/>
      <scheme val="major"/>
    </font>
    <font>
      <b/>
      <sz val="16"/>
      <color theme="1"/>
      <name val="Cambria"/>
      <family val="2"/>
      <scheme val="major"/>
    </font>
    <font>
      <b/>
      <sz val="10"/>
      <color indexed="9"/>
      <name val="Calibri"/>
      <family val="2"/>
      <scheme val="minor"/>
    </font>
    <font>
      <b/>
      <sz val="12"/>
      <color theme="1"/>
      <name val="Cambria"/>
      <family val="2"/>
      <scheme val="maj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i/>
      <sz val="12"/>
      <color theme="1"/>
      <name val="Cambria"/>
      <family val="2"/>
      <scheme val="major"/>
    </font>
    <font>
      <sz val="12"/>
      <color rgb="FF3F3F3F"/>
      <name val="Helvetica"/>
      <family val="2"/>
    </font>
    <font>
      <b/>
      <sz val="10"/>
      <color theme="1"/>
      <name val="Calibri"/>
      <family val="2"/>
      <scheme val="minor"/>
    </font>
    <font>
      <b/>
      <sz val="8"/>
      <color theme="1"/>
      <name val="Cambria"/>
      <family val="2"/>
      <scheme val="major"/>
    </font>
    <font>
      <b/>
      <sz val="12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i/>
      <sz val="11"/>
      <color theme="1"/>
      <name val="Calibri Light"/>
      <family val="2"/>
    </font>
    <font>
      <b/>
      <sz val="9"/>
      <color rgb="FFFF0000"/>
      <name val="Calibri Light"/>
      <family val="2"/>
    </font>
    <font>
      <sz val="10"/>
      <color theme="7" tint="-0.499984740745262"/>
      <name val="Calibri Light"/>
      <family val="2"/>
    </font>
    <font>
      <b/>
      <sz val="11"/>
      <name val="Calibri Light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 lignt"/>
    </font>
    <font>
      <sz val="16"/>
      <color theme="1"/>
      <name val="Calibri"/>
      <family val="2"/>
      <scheme val="minor"/>
    </font>
    <font>
      <b/>
      <sz val="16"/>
      <color theme="1"/>
      <name val="Calibri lignt"/>
    </font>
    <font>
      <b/>
      <sz val="16"/>
      <color theme="1"/>
      <name val="Calibri"/>
      <family val="2"/>
      <scheme val="minor"/>
    </font>
    <font>
      <sz val="16"/>
      <color theme="1"/>
      <name val="Times New Roman"/>
      <family val="1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2E993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38D4D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EA7E9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FE0FF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62A3E8"/>
        <bgColor indexed="64"/>
      </patternFill>
    </fill>
    <fill>
      <patternFill patternType="solid">
        <fgColor rgb="FFBDD4EC"/>
        <bgColor indexed="64"/>
      </patternFill>
    </fill>
    <fill>
      <patternFill patternType="solid">
        <fgColor rgb="FFE3B5BA"/>
        <bgColor indexed="64"/>
      </patternFill>
    </fill>
    <fill>
      <patternFill patternType="solid">
        <fgColor rgb="FFE8E88E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C3B4D"/>
        <bgColor indexed="64"/>
      </patternFill>
    </fill>
    <fill>
      <patternFill patternType="solid">
        <fgColor rgb="FF7AA69D"/>
        <bgColor indexed="64"/>
      </patternFill>
    </fill>
  </fills>
  <borders count="6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/>
      <top/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dashDot">
        <color theme="0" tint="-0.34998626667073579"/>
      </top>
      <bottom style="dashDot">
        <color theme="0" tint="-0.34998626667073579"/>
      </bottom>
      <diagonal/>
    </border>
    <border>
      <left/>
      <right style="dashDot">
        <color theme="0" tint="-0.34998626667073579"/>
      </right>
      <top style="dashDot">
        <color theme="0" tint="-0.34998626667073579"/>
      </top>
      <bottom style="dashDot">
        <color theme="0" tint="-0.34998626667073579"/>
      </bottom>
      <diagonal/>
    </border>
    <border>
      <left style="dashDot">
        <color theme="0" tint="-0.34998626667073579"/>
      </left>
      <right style="dashDot">
        <color theme="0" tint="-0.34998626667073579"/>
      </right>
      <top style="dashDot">
        <color theme="0" tint="-0.34998626667073579"/>
      </top>
      <bottom style="dashDot">
        <color theme="0" tint="-0.34998626667073579"/>
      </bottom>
      <diagonal/>
    </border>
    <border>
      <left style="dashDot">
        <color theme="0" tint="-0.34998626667073579"/>
      </left>
      <right/>
      <top style="dashDot">
        <color theme="0" tint="-0.34998626667073579"/>
      </top>
      <bottom style="dashDot">
        <color theme="0" tint="-0.34998626667073579"/>
      </bottom>
      <diagonal/>
    </border>
    <border>
      <left/>
      <right style="dashDot">
        <color theme="0" tint="-0.34998626667073579"/>
      </right>
      <top/>
      <bottom style="dashDot">
        <color theme="0" tint="-0.34998626667073579"/>
      </bottom>
      <diagonal/>
    </border>
    <border>
      <left/>
      <right style="dashDot">
        <color theme="0" tint="-0.34998626667073579"/>
      </right>
      <top style="dashDot">
        <color theme="0" tint="-0.34998626667073579"/>
      </top>
      <bottom/>
      <diagonal/>
    </border>
    <border>
      <left style="dashDot">
        <color theme="0" tint="-0.34998626667073579"/>
      </left>
      <right style="dashDot">
        <color theme="0" tint="-0.34998626667073579"/>
      </right>
      <top style="dashDot">
        <color theme="0" tint="-0.34998626667073579"/>
      </top>
      <bottom/>
      <diagonal/>
    </border>
    <border>
      <left style="dashDot">
        <color theme="0" tint="-0.34998626667073579"/>
      </left>
      <right style="dashDot">
        <color theme="0" tint="-0.34998626667073579"/>
      </right>
      <top/>
      <bottom style="dashDot">
        <color theme="0" tint="-0.34998626667073579"/>
      </bottom>
      <diagonal/>
    </border>
    <border>
      <left style="dashDot">
        <color theme="0" tint="-0.34998626667073579"/>
      </left>
      <right/>
      <top/>
      <bottom style="dashDot">
        <color theme="0" tint="-0.34998626667073579"/>
      </bottom>
      <diagonal/>
    </border>
    <border>
      <left/>
      <right style="dashDot">
        <color theme="0" tint="-0.34998626667073579"/>
      </right>
      <top/>
      <bottom/>
      <diagonal/>
    </border>
    <border>
      <left style="dashDot">
        <color theme="0" tint="-0.34998626667073579"/>
      </left>
      <right style="dashDot">
        <color theme="0" tint="-0.34998626667073579"/>
      </right>
      <top/>
      <bottom/>
      <diagonal/>
    </border>
    <border>
      <left style="dashDot">
        <color theme="0" tint="-0.34998626667073579"/>
      </left>
      <right/>
      <top style="dashDot">
        <color theme="0" tint="-0.34998626667073579"/>
      </top>
      <bottom/>
      <diagonal/>
    </border>
    <border>
      <left/>
      <right/>
      <top/>
      <bottom style="dashDot">
        <color theme="0" tint="-0.34998626667073579"/>
      </bottom>
      <diagonal/>
    </border>
  </borders>
  <cellStyleXfs count="54">
    <xf numFmtId="0" fontId="0" fillId="0" borderId="0"/>
    <xf numFmtId="9" fontId="3" fillId="0" borderId="0" applyFont="0" applyFill="0" applyBorder="0" applyAlignment="0" applyProtection="0"/>
    <xf numFmtId="0" fontId="4" fillId="0" borderId="0"/>
    <xf numFmtId="44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" fillId="30" borderId="0" applyNumberFormat="0" applyBorder="0" applyAlignment="0" applyProtection="0"/>
  </cellStyleXfs>
  <cellXfs count="259">
    <xf numFmtId="0" fontId="0" fillId="0" borderId="0" xfId="0"/>
    <xf numFmtId="0" fontId="7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8" fillId="0" borderId="0" xfId="0" applyFont="1" applyAlignment="1">
      <alignment horizontal="center" vertical="center"/>
    </xf>
    <xf numFmtId="49" fontId="9" fillId="2" borderId="1" xfId="0" applyNumberFormat="1" applyFont="1" applyFill="1" applyBorder="1" applyAlignment="1">
      <alignment horizontal="center" vertical="center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>
      <alignment vertical="center"/>
    </xf>
    <xf numFmtId="49" fontId="13" fillId="0" borderId="0" xfId="0" applyNumberFormat="1" applyFont="1" applyAlignment="1" applyProtection="1">
      <alignment horizontal="right" vertical="center"/>
      <protection locked="0"/>
    </xf>
    <xf numFmtId="3" fontId="8" fillId="0" borderId="0" xfId="0" applyNumberFormat="1" applyFont="1" applyAlignment="1" applyProtection="1">
      <alignment horizontal="center" vertical="center"/>
      <protection locked="0"/>
    </xf>
    <xf numFmtId="0" fontId="18" fillId="0" borderId="0" xfId="0" applyFont="1" applyAlignment="1">
      <alignment vertical="center"/>
    </xf>
    <xf numFmtId="0" fontId="20" fillId="10" borderId="0" xfId="0" applyFont="1" applyFill="1" applyAlignment="1">
      <alignment horizontal="center" vertical="center"/>
    </xf>
    <xf numFmtId="0" fontId="20" fillId="11" borderId="0" xfId="0" applyFont="1" applyFill="1" applyAlignment="1">
      <alignment horizontal="center" vertical="center"/>
    </xf>
    <xf numFmtId="0" fontId="20" fillId="12" borderId="0" xfId="0" applyFont="1" applyFill="1" applyAlignment="1">
      <alignment horizontal="center" vertical="center"/>
    </xf>
    <xf numFmtId="0" fontId="20" fillId="6" borderId="0" xfId="0" applyFont="1" applyFill="1" applyAlignment="1">
      <alignment horizontal="center" vertical="center"/>
    </xf>
    <xf numFmtId="0" fontId="20" fillId="13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49" fontId="21" fillId="0" borderId="19" xfId="0" applyNumberFormat="1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0" fontId="22" fillId="10" borderId="0" xfId="0" applyFont="1" applyFill="1" applyAlignment="1">
      <alignment horizontal="left" vertical="center"/>
    </xf>
    <xf numFmtId="0" fontId="18" fillId="14" borderId="21" xfId="0" applyFont="1" applyFill="1" applyBorder="1" applyAlignment="1">
      <alignment horizontal="center" vertical="center"/>
    </xf>
    <xf numFmtId="0" fontId="18" fillId="15" borderId="2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22" fillId="13" borderId="0" xfId="0" applyFont="1" applyFill="1" applyAlignment="1">
      <alignment horizontal="left" vertical="center"/>
    </xf>
    <xf numFmtId="0" fontId="18" fillId="0" borderId="25" xfId="0" applyFont="1" applyBorder="1" applyAlignment="1">
      <alignment horizontal="center" vertical="center"/>
    </xf>
    <xf numFmtId="0" fontId="18" fillId="15" borderId="0" xfId="0" applyFont="1" applyFill="1" applyAlignment="1">
      <alignment horizontal="center" vertical="center"/>
    </xf>
    <xf numFmtId="0" fontId="18" fillId="14" borderId="0" xfId="0" applyFont="1" applyFill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22" fillId="6" borderId="0" xfId="0" applyFont="1" applyFill="1" applyAlignment="1">
      <alignment horizontal="left" vertical="center"/>
    </xf>
    <xf numFmtId="0" fontId="18" fillId="15" borderId="24" xfId="0" applyFont="1" applyFill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15" borderId="25" xfId="0" applyFont="1" applyFill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22" fillId="16" borderId="0" xfId="0" applyFont="1" applyFill="1" applyAlignment="1">
      <alignment horizontal="left" vertical="center"/>
    </xf>
    <xf numFmtId="0" fontId="18" fillId="9" borderId="0" xfId="0" applyFont="1" applyFill="1" applyAlignment="1">
      <alignment horizontal="center" vertical="center"/>
    </xf>
    <xf numFmtId="0" fontId="18" fillId="14" borderId="28" xfId="0" applyFont="1" applyFill="1" applyBorder="1" applyAlignment="1">
      <alignment horizontal="center" vertical="center"/>
    </xf>
    <xf numFmtId="0" fontId="18" fillId="15" borderId="29" xfId="0" applyFont="1" applyFill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30" xfId="0" applyFont="1" applyBorder="1" applyAlignment="1">
      <alignment vertical="center"/>
    </xf>
    <xf numFmtId="0" fontId="21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21" fillId="0" borderId="15" xfId="0" applyFont="1" applyBorder="1" applyAlignment="1">
      <alignment horizontal="right" vertical="center"/>
    </xf>
    <xf numFmtId="167" fontId="18" fillId="0" borderId="12" xfId="0" applyNumberFormat="1" applyFont="1" applyBorder="1" applyAlignment="1">
      <alignment vertical="center"/>
    </xf>
    <xf numFmtId="168" fontId="21" fillId="0" borderId="15" xfId="0" applyNumberFormat="1" applyFont="1" applyBorder="1" applyAlignment="1">
      <alignment vertical="center"/>
    </xf>
    <xf numFmtId="168" fontId="18" fillId="0" borderId="1" xfId="0" applyNumberFormat="1" applyFont="1" applyBorder="1" applyAlignment="1">
      <alignment horizontal="right" vertical="center"/>
    </xf>
    <xf numFmtId="168" fontId="18" fillId="0" borderId="8" xfId="0" applyNumberFormat="1" applyFont="1" applyBorder="1" applyAlignment="1">
      <alignment horizontal="right" vertical="center"/>
    </xf>
    <xf numFmtId="168" fontId="18" fillId="0" borderId="0" xfId="0" applyNumberFormat="1" applyFont="1" applyAlignment="1">
      <alignment horizontal="center" vertical="center"/>
    </xf>
    <xf numFmtId="0" fontId="21" fillId="0" borderId="0" xfId="0" applyFont="1" applyAlignment="1">
      <alignment vertical="center"/>
    </xf>
    <xf numFmtId="168" fontId="18" fillId="0" borderId="0" xfId="0" applyNumberFormat="1" applyFont="1" applyAlignment="1">
      <alignment horizontal="right" vertical="center"/>
    </xf>
    <xf numFmtId="168" fontId="21" fillId="0" borderId="0" xfId="0" applyNumberFormat="1" applyFont="1" applyAlignment="1">
      <alignment horizontal="right" vertical="center"/>
    </xf>
    <xf numFmtId="168" fontId="18" fillId="0" borderId="0" xfId="0" applyNumberFormat="1" applyFont="1" applyAlignment="1">
      <alignment vertical="center"/>
    </xf>
    <xf numFmtId="167" fontId="18" fillId="0" borderId="0" xfId="0" applyNumberFormat="1" applyFont="1" applyAlignment="1">
      <alignment vertical="center"/>
    </xf>
    <xf numFmtId="0" fontId="25" fillId="0" borderId="0" xfId="0" applyFont="1"/>
    <xf numFmtId="165" fontId="18" fillId="0" borderId="0" xfId="8" applyNumberFormat="1" applyFont="1" applyAlignment="1">
      <alignment vertical="center"/>
    </xf>
    <xf numFmtId="0" fontId="20" fillId="16" borderId="0" xfId="0" applyFont="1" applyFill="1" applyAlignment="1">
      <alignment horizontal="center" vertical="center"/>
    </xf>
    <xf numFmtId="0" fontId="26" fillId="17" borderId="0" xfId="0" applyFont="1" applyFill="1" applyAlignment="1">
      <alignment horizontal="center" vertical="center"/>
    </xf>
    <xf numFmtId="0" fontId="20" fillId="18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1" fillId="0" borderId="31" xfId="0" applyFont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  <xf numFmtId="0" fontId="18" fillId="9" borderId="17" xfId="0" applyFont="1" applyFill="1" applyBorder="1" applyAlignment="1">
      <alignment vertical="center"/>
    </xf>
    <xf numFmtId="0" fontId="18" fillId="0" borderId="18" xfId="0" applyFont="1" applyBorder="1" applyAlignment="1">
      <alignment vertical="center"/>
    </xf>
    <xf numFmtId="0" fontId="22" fillId="10" borderId="21" xfId="0" applyFont="1" applyFill="1" applyBorder="1" applyAlignment="1">
      <alignment horizontal="left" vertical="center"/>
    </xf>
    <xf numFmtId="0" fontId="24" fillId="0" borderId="7" xfId="0" applyFont="1" applyBorder="1" applyAlignment="1">
      <alignment horizontal="left" vertical="center"/>
    </xf>
    <xf numFmtId="0" fontId="21" fillId="0" borderId="2" xfId="0" applyFont="1" applyBorder="1" applyAlignment="1">
      <alignment horizontal="center" vertical="center"/>
    </xf>
    <xf numFmtId="168" fontId="21" fillId="0" borderId="2" xfId="0" applyNumberFormat="1" applyFont="1" applyBorder="1" applyAlignment="1">
      <alignment horizontal="center" vertical="center"/>
    </xf>
    <xf numFmtId="168" fontId="21" fillId="0" borderId="22" xfId="0" applyNumberFormat="1" applyFont="1" applyBorder="1" applyAlignment="1">
      <alignment horizontal="center" vertical="center"/>
    </xf>
    <xf numFmtId="168" fontId="21" fillId="0" borderId="0" xfId="0" applyNumberFormat="1" applyFont="1" applyAlignment="1">
      <alignment horizontal="center" vertical="center"/>
    </xf>
    <xf numFmtId="168" fontId="18" fillId="0" borderId="0" xfId="0" applyNumberFormat="1" applyFont="1" applyAlignment="1">
      <alignment horizontal="center" vertical="center" wrapText="1"/>
    </xf>
    <xf numFmtId="168" fontId="21" fillId="0" borderId="21" xfId="0" applyNumberFormat="1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18" fillId="0" borderId="32" xfId="0" applyFont="1" applyBorder="1" applyAlignment="1">
      <alignment vertical="center"/>
    </xf>
    <xf numFmtId="0" fontId="18" fillId="0" borderId="33" xfId="0" applyFont="1" applyBorder="1" applyAlignment="1">
      <alignment vertical="center"/>
    </xf>
    <xf numFmtId="0" fontId="22" fillId="13" borderId="25" xfId="0" applyFont="1" applyFill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168" fontId="21" fillId="0" borderId="24" xfId="0" applyNumberFormat="1" applyFont="1" applyBorder="1" applyAlignment="1">
      <alignment horizontal="center" vertical="center"/>
    </xf>
    <xf numFmtId="168" fontId="21" fillId="0" borderId="25" xfId="0" applyNumberFormat="1" applyFont="1" applyBorder="1" applyAlignment="1">
      <alignment horizontal="center" vertical="center"/>
    </xf>
    <xf numFmtId="0" fontId="22" fillId="6" borderId="25" xfId="0" applyFont="1" applyFill="1" applyBorder="1" applyAlignment="1">
      <alignment horizontal="left" vertical="center"/>
    </xf>
    <xf numFmtId="0" fontId="22" fillId="10" borderId="25" xfId="0" applyFont="1" applyFill="1" applyBorder="1" applyAlignment="1">
      <alignment horizontal="left" vertical="center"/>
    </xf>
    <xf numFmtId="0" fontId="18" fillId="9" borderId="32" xfId="0" applyFont="1" applyFill="1" applyBorder="1" applyAlignment="1">
      <alignment vertical="center"/>
    </xf>
    <xf numFmtId="0" fontId="22" fillId="16" borderId="25" xfId="0" applyFont="1" applyFill="1" applyBorder="1" applyAlignment="1">
      <alignment horizontal="left" vertical="center"/>
    </xf>
    <xf numFmtId="0" fontId="18" fillId="9" borderId="34" xfId="0" applyFont="1" applyFill="1" applyBorder="1" applyAlignment="1">
      <alignment vertical="center"/>
    </xf>
    <xf numFmtId="0" fontId="18" fillId="0" borderId="35" xfId="0" applyFont="1" applyBorder="1" applyAlignment="1">
      <alignment vertical="center"/>
    </xf>
    <xf numFmtId="0" fontId="22" fillId="10" borderId="28" xfId="0" applyFont="1" applyFill="1" applyBorder="1" applyAlignment="1">
      <alignment horizontal="left" vertical="center"/>
    </xf>
    <xf numFmtId="0" fontId="24" fillId="0" borderId="14" xfId="0" applyFont="1" applyBorder="1" applyAlignment="1">
      <alignment horizontal="left" vertical="center"/>
    </xf>
    <xf numFmtId="0" fontId="21" fillId="0" borderId="29" xfId="0" applyFont="1" applyBorder="1" applyAlignment="1">
      <alignment horizontal="center" vertical="center"/>
    </xf>
    <xf numFmtId="168" fontId="21" fillId="0" borderId="29" xfId="0" applyNumberFormat="1" applyFont="1" applyBorder="1" applyAlignment="1">
      <alignment horizontal="center" vertical="center"/>
    </xf>
    <xf numFmtId="168" fontId="21" fillId="0" borderId="30" xfId="0" applyNumberFormat="1" applyFont="1" applyBorder="1" applyAlignment="1">
      <alignment horizontal="center" vertical="center"/>
    </xf>
    <xf numFmtId="168" fontId="21" fillId="0" borderId="28" xfId="0" applyNumberFormat="1" applyFont="1" applyBorder="1" applyAlignment="1">
      <alignment horizontal="center" vertical="center"/>
    </xf>
    <xf numFmtId="168" fontId="21" fillId="0" borderId="3" xfId="0" applyNumberFormat="1" applyFont="1" applyBorder="1" applyAlignment="1">
      <alignment horizontal="center" vertical="center"/>
    </xf>
    <xf numFmtId="0" fontId="24" fillId="0" borderId="0" xfId="0" applyFont="1" applyAlignment="1">
      <alignment horizontal="left" vertical="center"/>
    </xf>
    <xf numFmtId="168" fontId="28" fillId="0" borderId="0" xfId="0" applyNumberFormat="1" applyFont="1" applyAlignment="1">
      <alignment horizontal="center" vertical="center"/>
    </xf>
    <xf numFmtId="0" fontId="18" fillId="0" borderId="17" xfId="0" applyFont="1" applyBorder="1" applyAlignment="1">
      <alignment horizontal="right" vertical="center"/>
    </xf>
    <xf numFmtId="168" fontId="18" fillId="0" borderId="18" xfId="0" applyNumberFormat="1" applyFont="1" applyBorder="1" applyAlignment="1">
      <alignment horizontal="center" vertical="center"/>
    </xf>
    <xf numFmtId="0" fontId="18" fillId="0" borderId="32" xfId="0" applyFont="1" applyBorder="1" applyAlignment="1">
      <alignment horizontal="right" vertical="center"/>
    </xf>
    <xf numFmtId="168" fontId="18" fillId="0" borderId="33" xfId="0" applyNumberFormat="1" applyFont="1" applyBorder="1" applyAlignment="1">
      <alignment horizontal="center" vertical="center"/>
    </xf>
    <xf numFmtId="168" fontId="18" fillId="0" borderId="4" xfId="0" applyNumberFormat="1" applyFont="1" applyBorder="1" applyAlignment="1">
      <alignment vertical="center"/>
    </xf>
    <xf numFmtId="168" fontId="18" fillId="0" borderId="8" xfId="0" applyNumberFormat="1" applyFont="1" applyBorder="1" applyAlignment="1">
      <alignment vertical="center"/>
    </xf>
    <xf numFmtId="168" fontId="18" fillId="0" borderId="39" xfId="0" applyNumberFormat="1" applyFont="1" applyBorder="1" applyAlignment="1">
      <alignment vertical="center"/>
    </xf>
    <xf numFmtId="0" fontId="18" fillId="0" borderId="34" xfId="0" applyFont="1" applyBorder="1" applyAlignment="1">
      <alignment horizontal="right" vertical="center"/>
    </xf>
    <xf numFmtId="168" fontId="18" fillId="0" borderId="35" xfId="0" applyNumberFormat="1" applyFont="1" applyBorder="1" applyAlignment="1">
      <alignment horizontal="center" vertical="center"/>
    </xf>
    <xf numFmtId="168" fontId="29" fillId="0" borderId="8" xfId="0" applyNumberFormat="1" applyFont="1" applyBorder="1" applyAlignment="1">
      <alignment vertical="center"/>
    </xf>
    <xf numFmtId="0" fontId="18" fillId="0" borderId="0" xfId="0" applyFont="1" applyAlignment="1">
      <alignment horizontal="right" vertical="center"/>
    </xf>
    <xf numFmtId="168" fontId="18" fillId="0" borderId="3" xfId="0" applyNumberFormat="1" applyFont="1" applyBorder="1" applyAlignment="1">
      <alignment horizontal="center" vertical="center"/>
    </xf>
    <xf numFmtId="168" fontId="25" fillId="0" borderId="0" xfId="0" applyNumberFormat="1" applyFont="1"/>
    <xf numFmtId="0" fontId="21" fillId="0" borderId="1" xfId="0" applyFont="1" applyBorder="1" applyAlignment="1">
      <alignment horizontal="center" vertical="center"/>
    </xf>
    <xf numFmtId="3" fontId="18" fillId="0" borderId="0" xfId="0" applyNumberFormat="1" applyFont="1" applyAlignment="1">
      <alignment vertical="center"/>
    </xf>
    <xf numFmtId="0" fontId="18" fillId="0" borderId="1" xfId="0" applyFont="1" applyBorder="1" applyAlignment="1">
      <alignment horizontal="left" vertical="center"/>
    </xf>
    <xf numFmtId="168" fontId="21" fillId="0" borderId="1" xfId="0" applyNumberFormat="1" applyFont="1" applyBorder="1" applyAlignment="1">
      <alignment horizontal="center" vertical="center"/>
    </xf>
    <xf numFmtId="3" fontId="21" fillId="0" borderId="0" xfId="0" applyNumberFormat="1" applyFont="1" applyAlignment="1">
      <alignment horizontal="center" vertical="center"/>
    </xf>
    <xf numFmtId="0" fontId="18" fillId="0" borderId="12" xfId="0" applyFont="1" applyBorder="1" applyAlignment="1">
      <alignment vertical="center"/>
    </xf>
    <xf numFmtId="0" fontId="15" fillId="20" borderId="0" xfId="0" applyFont="1" applyFill="1" applyAlignment="1">
      <alignment horizontal="center" vertical="center"/>
    </xf>
    <xf numFmtId="49" fontId="11" fillId="8" borderId="41" xfId="0" applyNumberFormat="1" applyFont="1" applyFill="1" applyBorder="1" applyAlignment="1" applyProtection="1">
      <alignment horizontal="right" vertical="center"/>
      <protection locked="0"/>
    </xf>
    <xf numFmtId="49" fontId="12" fillId="5" borderId="41" xfId="0" applyNumberFormat="1" applyFont="1" applyFill="1" applyBorder="1" applyAlignment="1" applyProtection="1">
      <alignment horizontal="right" vertical="center"/>
      <protection locked="0"/>
    </xf>
    <xf numFmtId="49" fontId="11" fillId="8" borderId="45" xfId="0" applyNumberFormat="1" applyFont="1" applyFill="1" applyBorder="1" applyAlignment="1" applyProtection="1">
      <alignment horizontal="right" vertical="center"/>
      <protection locked="0"/>
    </xf>
    <xf numFmtId="49" fontId="8" fillId="0" borderId="46" xfId="0" applyNumberFormat="1" applyFont="1" applyBorder="1" applyAlignment="1" applyProtection="1">
      <alignment horizontal="right" vertical="center"/>
      <protection locked="0"/>
    </xf>
    <xf numFmtId="49" fontId="33" fillId="5" borderId="41" xfId="0" applyNumberFormat="1" applyFont="1" applyFill="1" applyBorder="1" applyAlignment="1" applyProtection="1">
      <alignment horizontal="right" vertical="center"/>
      <protection locked="0"/>
    </xf>
    <xf numFmtId="0" fontId="9" fillId="5" borderId="41" xfId="0" applyFont="1" applyFill="1" applyBorder="1" applyAlignment="1" applyProtection="1">
      <alignment horizontal="right" vertical="center"/>
      <protection locked="0"/>
    </xf>
    <xf numFmtId="164" fontId="11" fillId="4" borderId="41" xfId="0" applyNumberFormat="1" applyFont="1" applyFill="1" applyBorder="1" applyAlignment="1">
      <alignment horizontal="center" vertical="center"/>
    </xf>
    <xf numFmtId="3" fontId="11" fillId="4" borderId="41" xfId="0" applyNumberFormat="1" applyFont="1" applyFill="1" applyBorder="1" applyAlignment="1">
      <alignment horizontal="center" vertical="center"/>
    </xf>
    <xf numFmtId="164" fontId="11" fillId="8" borderId="41" xfId="0" applyNumberFormat="1" applyFont="1" applyFill="1" applyBorder="1" applyAlignment="1">
      <alignment horizontal="center" vertical="center"/>
    </xf>
    <xf numFmtId="0" fontId="11" fillId="3" borderId="41" xfId="0" applyFont="1" applyFill="1" applyBorder="1" applyAlignment="1">
      <alignment horizontal="center" vertical="center"/>
    </xf>
    <xf numFmtId="3" fontId="11" fillId="8" borderId="41" xfId="0" applyNumberFormat="1" applyFont="1" applyFill="1" applyBorder="1" applyAlignment="1">
      <alignment horizontal="center" vertical="center"/>
    </xf>
    <xf numFmtId="165" fontId="11" fillId="8" borderId="41" xfId="8" applyNumberFormat="1" applyFont="1" applyFill="1" applyBorder="1" applyAlignment="1" applyProtection="1">
      <alignment horizontal="center" vertical="center"/>
    </xf>
    <xf numFmtId="166" fontId="9" fillId="5" borderId="41" xfId="0" applyNumberFormat="1" applyFont="1" applyFill="1" applyBorder="1" applyAlignment="1">
      <alignment horizontal="center" vertical="center"/>
    </xf>
    <xf numFmtId="165" fontId="9" fillId="5" borderId="41" xfId="8" applyNumberFormat="1" applyFont="1" applyFill="1" applyBorder="1" applyAlignment="1" applyProtection="1">
      <alignment horizontal="center" vertical="center"/>
    </xf>
    <xf numFmtId="166" fontId="11" fillId="8" borderId="41" xfId="0" applyNumberFormat="1" applyFont="1" applyFill="1" applyBorder="1" applyAlignment="1">
      <alignment horizontal="center" vertical="center"/>
    </xf>
    <xf numFmtId="3" fontId="7" fillId="5" borderId="41" xfId="0" applyNumberFormat="1" applyFont="1" applyFill="1" applyBorder="1" applyAlignment="1">
      <alignment horizontal="center" vertical="center"/>
    </xf>
    <xf numFmtId="3" fontId="8" fillId="5" borderId="41" xfId="0" applyNumberFormat="1" applyFont="1" applyFill="1" applyBorder="1" applyAlignment="1" applyProtection="1">
      <alignment horizontal="center" vertical="center"/>
      <protection locked="0"/>
    </xf>
    <xf numFmtId="3" fontId="8" fillId="5" borderId="41" xfId="0" applyNumberFormat="1" applyFont="1" applyFill="1" applyBorder="1" applyAlignment="1">
      <alignment horizontal="center" vertical="center"/>
    </xf>
    <xf numFmtId="0" fontId="8" fillId="5" borderId="41" xfId="0" applyFont="1" applyFill="1" applyBorder="1" applyAlignment="1" applyProtection="1">
      <alignment horizontal="center" vertical="center"/>
      <protection locked="0"/>
    </xf>
    <xf numFmtId="4" fontId="11" fillId="4" borderId="45" xfId="0" applyNumberFormat="1" applyFont="1" applyFill="1" applyBorder="1" applyAlignment="1">
      <alignment horizontal="center" vertical="center"/>
    </xf>
    <xf numFmtId="166" fontId="11" fillId="4" borderId="45" xfId="0" applyNumberFormat="1" applyFont="1" applyFill="1" applyBorder="1" applyAlignment="1">
      <alignment horizontal="center" vertical="center"/>
    </xf>
    <xf numFmtId="3" fontId="8" fillId="0" borderId="46" xfId="0" applyNumberFormat="1" applyFont="1" applyBorder="1" applyAlignment="1">
      <alignment horizontal="center" vertical="center"/>
    </xf>
    <xf numFmtId="4" fontId="8" fillId="0" borderId="46" xfId="0" applyNumberFormat="1" applyFont="1" applyBorder="1" applyAlignment="1">
      <alignment horizontal="center" vertical="center"/>
    </xf>
    <xf numFmtId="49" fontId="33" fillId="5" borderId="42" xfId="0" applyNumberFormat="1" applyFont="1" applyFill="1" applyBorder="1" applyAlignment="1" applyProtection="1">
      <alignment horizontal="right" vertical="center"/>
      <protection locked="0"/>
    </xf>
    <xf numFmtId="165" fontId="8" fillId="0" borderId="41" xfId="8" applyNumberFormat="1" applyFont="1" applyFill="1" applyBorder="1" applyAlignment="1" applyProtection="1">
      <alignment horizontal="center" vertical="center"/>
      <protection locked="0"/>
    </xf>
    <xf numFmtId="9" fontId="10" fillId="3" borderId="9" xfId="0" applyNumberFormat="1" applyFont="1" applyFill="1" applyBorder="1" applyAlignment="1">
      <alignment horizontal="center" vertical="center"/>
    </xf>
    <xf numFmtId="0" fontId="10" fillId="3" borderId="41" xfId="0" applyFont="1" applyFill="1" applyBorder="1" applyAlignment="1">
      <alignment horizontal="center" vertical="center"/>
    </xf>
    <xf numFmtId="0" fontId="14" fillId="5" borderId="43" xfId="0" applyFont="1" applyFill="1" applyBorder="1" applyAlignment="1" applyProtection="1">
      <alignment horizontal="center" vertical="center"/>
      <protection locked="0"/>
    </xf>
    <xf numFmtId="165" fontId="8" fillId="5" borderId="41" xfId="1" applyNumberFormat="1" applyFont="1" applyFill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15" fillId="22" borderId="0" xfId="0" applyFont="1" applyFill="1" applyAlignment="1">
      <alignment horizontal="center" vertical="center"/>
    </xf>
    <xf numFmtId="0" fontId="15" fillId="23" borderId="0" xfId="0" applyFont="1" applyFill="1" applyAlignment="1">
      <alignment horizontal="center" vertical="center"/>
    </xf>
    <xf numFmtId="0" fontId="15" fillId="19" borderId="0" xfId="0" applyFont="1" applyFill="1" applyAlignment="1">
      <alignment horizontal="center" vertical="center"/>
    </xf>
    <xf numFmtId="0" fontId="35" fillId="24" borderId="0" xfId="0" applyFont="1" applyFill="1" applyAlignment="1">
      <alignment horizontal="center" vertical="center"/>
    </xf>
    <xf numFmtId="49" fontId="11" fillId="25" borderId="41" xfId="0" applyNumberFormat="1" applyFont="1" applyFill="1" applyBorder="1" applyAlignment="1" applyProtection="1">
      <alignment horizontal="center" vertical="center"/>
      <protection locked="0"/>
    </xf>
    <xf numFmtId="49" fontId="11" fillId="25" borderId="41" xfId="0" applyNumberFormat="1" applyFont="1" applyFill="1" applyBorder="1" applyAlignment="1" applyProtection="1">
      <alignment horizontal="right" vertical="center"/>
      <protection locked="0"/>
    </xf>
    <xf numFmtId="49" fontId="11" fillId="26" borderId="41" xfId="0" applyNumberFormat="1" applyFont="1" applyFill="1" applyBorder="1" applyAlignment="1" applyProtection="1">
      <alignment horizontal="right" vertical="center"/>
      <protection locked="0"/>
    </xf>
    <xf numFmtId="4" fontId="8" fillId="21" borderId="41" xfId="0" applyNumberFormat="1" applyFont="1" applyFill="1" applyBorder="1" applyAlignment="1">
      <alignment horizontal="center" vertical="center"/>
    </xf>
    <xf numFmtId="4" fontId="11" fillId="26" borderId="41" xfId="0" applyNumberFormat="1" applyFont="1" applyFill="1" applyBorder="1" applyAlignment="1">
      <alignment horizontal="center" vertical="center"/>
    </xf>
    <xf numFmtId="4" fontId="11" fillId="25" borderId="41" xfId="0" applyNumberFormat="1" applyFont="1" applyFill="1" applyBorder="1" applyAlignment="1">
      <alignment horizontal="center" vertical="center"/>
    </xf>
    <xf numFmtId="164" fontId="16" fillId="25" borderId="41" xfId="0" applyNumberFormat="1" applyFont="1" applyFill="1" applyBorder="1" applyAlignment="1" applyProtection="1">
      <alignment horizontal="center" vertical="center"/>
      <protection locked="0"/>
    </xf>
    <xf numFmtId="164" fontId="7" fillId="27" borderId="42" xfId="0" applyNumberFormat="1" applyFont="1" applyFill="1" applyBorder="1" applyAlignment="1">
      <alignment horizontal="center" vertical="center" wrapText="1"/>
    </xf>
    <xf numFmtId="3" fontId="36" fillId="29" borderId="41" xfId="0" applyNumberFormat="1" applyFont="1" applyFill="1" applyBorder="1" applyAlignment="1">
      <alignment horizontal="center" vertical="center"/>
    </xf>
    <xf numFmtId="0" fontId="0" fillId="0" borderId="5" xfId="0" applyBorder="1"/>
    <xf numFmtId="3" fontId="7" fillId="32" borderId="41" xfId="0" applyNumberFormat="1" applyFont="1" applyFill="1" applyBorder="1" applyAlignment="1">
      <alignment horizontal="center" vertical="center"/>
    </xf>
    <xf numFmtId="164" fontId="11" fillId="32" borderId="41" xfId="0" applyNumberFormat="1" applyFont="1" applyFill="1" applyBorder="1" applyAlignment="1">
      <alignment horizontal="center" vertical="center"/>
    </xf>
    <xf numFmtId="170" fontId="0" fillId="0" borderId="10" xfId="0" applyNumberFormat="1" applyBorder="1"/>
    <xf numFmtId="169" fontId="0" fillId="0" borderId="0" xfId="0" applyNumberFormat="1"/>
    <xf numFmtId="0" fontId="38" fillId="7" borderId="13" xfId="0" applyFont="1" applyFill="1" applyBorder="1" applyAlignment="1">
      <alignment horizontal="center" vertical="center"/>
    </xf>
    <xf numFmtId="0" fontId="32" fillId="0" borderId="12" xfId="53" quotePrefix="1" applyFont="1" applyFill="1" applyBorder="1" applyAlignment="1" applyProtection="1">
      <alignment horizontal="center" vertical="center" wrapText="1"/>
    </xf>
    <xf numFmtId="0" fontId="32" fillId="0" borderId="12" xfId="53" applyFont="1" applyFill="1" applyBorder="1" applyAlignment="1" applyProtection="1">
      <alignment horizontal="center" vertical="center" wrapText="1"/>
    </xf>
    <xf numFmtId="0" fontId="37" fillId="33" borderId="13" xfId="0" applyFont="1" applyFill="1" applyBorder="1" applyAlignment="1">
      <alignment horizontal="center" vertical="center"/>
    </xf>
    <xf numFmtId="0" fontId="0" fillId="0" borderId="11" xfId="0" applyBorder="1" applyAlignment="1">
      <alignment wrapText="1"/>
    </xf>
    <xf numFmtId="0" fontId="0" fillId="0" borderId="5" xfId="0" applyBorder="1" applyAlignment="1">
      <alignment wrapText="1"/>
    </xf>
    <xf numFmtId="0" fontId="37" fillId="31" borderId="12" xfId="0" applyFont="1" applyFill="1" applyBorder="1" applyAlignment="1">
      <alignment horizontal="center" vertical="center"/>
    </xf>
    <xf numFmtId="0" fontId="37" fillId="23" borderId="1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38" fillId="20" borderId="12" xfId="0" applyFont="1" applyFill="1" applyBorder="1" applyAlignment="1">
      <alignment horizontal="center" vertical="center"/>
    </xf>
    <xf numFmtId="2" fontId="0" fillId="0" borderId="10" xfId="0" applyNumberFormat="1" applyBorder="1"/>
    <xf numFmtId="170" fontId="0" fillId="34" borderId="10" xfId="0" applyNumberFormat="1" applyFill="1" applyBorder="1"/>
    <xf numFmtId="170" fontId="0" fillId="35" borderId="10" xfId="0" applyNumberFormat="1" applyFill="1" applyBorder="1"/>
    <xf numFmtId="166" fontId="11" fillId="4" borderId="41" xfId="0" applyNumberFormat="1" applyFont="1" applyFill="1" applyBorder="1" applyAlignment="1">
      <alignment horizontal="center" vertical="center"/>
    </xf>
    <xf numFmtId="171" fontId="10" fillId="3" borderId="41" xfId="0" applyNumberFormat="1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7" fillId="0" borderId="1" xfId="0" applyFont="1" applyBorder="1" applyAlignment="1">
      <alignment horizontal="center"/>
    </xf>
    <xf numFmtId="9" fontId="0" fillId="0" borderId="0" xfId="1" applyFont="1"/>
    <xf numFmtId="165" fontId="0" fillId="0" borderId="0" xfId="1" applyNumberFormat="1" applyFont="1"/>
    <xf numFmtId="0" fontId="37" fillId="36" borderId="1" xfId="0" applyFont="1" applyFill="1" applyBorder="1" applyAlignment="1">
      <alignment horizontal="center"/>
    </xf>
    <xf numFmtId="0" fontId="43" fillId="0" borderId="0" xfId="0" applyFont="1" applyAlignment="1">
      <alignment horizontal="center"/>
    </xf>
    <xf numFmtId="0" fontId="42" fillId="0" borderId="0" xfId="0" applyFont="1" applyAlignment="1">
      <alignment horizontal="left"/>
    </xf>
    <xf numFmtId="0" fontId="41" fillId="37" borderId="0" xfId="0" applyFont="1" applyFill="1"/>
    <xf numFmtId="0" fontId="41" fillId="0" borderId="0" xfId="0" applyFont="1"/>
    <xf numFmtId="0" fontId="40" fillId="0" borderId="0" xfId="0" applyFont="1" applyAlignment="1">
      <alignment horizontal="left" indent="2"/>
    </xf>
    <xf numFmtId="0" fontId="40" fillId="0" borderId="0" xfId="0" applyFont="1" applyAlignment="1">
      <alignment horizontal="left"/>
    </xf>
    <xf numFmtId="0" fontId="41" fillId="0" borderId="48" xfId="0" applyFont="1" applyBorder="1"/>
    <xf numFmtId="0" fontId="41" fillId="0" borderId="49" xfId="0" applyFont="1" applyBorder="1"/>
    <xf numFmtId="0" fontId="41" fillId="0" borderId="50" xfId="0" applyFont="1" applyBorder="1"/>
    <xf numFmtId="0" fontId="41" fillId="0" borderId="47" xfId="0" applyFont="1" applyBorder="1"/>
    <xf numFmtId="0" fontId="41" fillId="0" borderId="51" xfId="0" applyFont="1" applyBorder="1"/>
    <xf numFmtId="0" fontId="41" fillId="0" borderId="52" xfId="0" applyFont="1" applyBorder="1"/>
    <xf numFmtId="0" fontId="41" fillId="0" borderId="53" xfId="0" applyFont="1" applyBorder="1"/>
    <xf numFmtId="0" fontId="41" fillId="0" borderId="54" xfId="0" applyFont="1" applyBorder="1"/>
    <xf numFmtId="0" fontId="41" fillId="38" borderId="8" xfId="0" applyFont="1" applyFill="1" applyBorder="1"/>
    <xf numFmtId="0" fontId="41" fillId="38" borderId="12" xfId="0" applyFont="1" applyFill="1" applyBorder="1"/>
    <xf numFmtId="0" fontId="41" fillId="0" borderId="55" xfId="0" applyFont="1" applyBorder="1"/>
    <xf numFmtId="0" fontId="41" fillId="38" borderId="13" xfId="0" applyFont="1" applyFill="1" applyBorder="1"/>
    <xf numFmtId="0" fontId="41" fillId="38" borderId="12" xfId="0" applyFont="1" applyFill="1" applyBorder="1" applyAlignment="1">
      <alignment horizontal="center"/>
    </xf>
    <xf numFmtId="0" fontId="41" fillId="38" borderId="13" xfId="0" applyFont="1" applyFill="1" applyBorder="1" applyAlignment="1">
      <alignment horizontal="center"/>
    </xf>
    <xf numFmtId="0" fontId="41" fillId="38" borderId="40" xfId="0" applyFont="1" applyFill="1" applyBorder="1"/>
    <xf numFmtId="0" fontId="41" fillId="38" borderId="40" xfId="0" applyFont="1" applyFill="1" applyBorder="1" applyAlignment="1">
      <alignment horizontal="center"/>
    </xf>
    <xf numFmtId="0" fontId="41" fillId="38" borderId="11" xfId="0" applyFont="1" applyFill="1" applyBorder="1"/>
    <xf numFmtId="0" fontId="41" fillId="0" borderId="56" xfId="0" applyFont="1" applyBorder="1"/>
    <xf numFmtId="0" fontId="41" fillId="0" borderId="57" xfId="0" applyFont="1" applyBorder="1"/>
    <xf numFmtId="0" fontId="41" fillId="0" borderId="58" xfId="0" applyFont="1" applyBorder="1"/>
    <xf numFmtId="0" fontId="41" fillId="0" borderId="59" xfId="0" applyFont="1" applyBorder="1"/>
    <xf numFmtId="0" fontId="37" fillId="28" borderId="1" xfId="0" applyFont="1" applyFill="1" applyBorder="1" applyAlignment="1">
      <alignment horizontal="center"/>
    </xf>
    <xf numFmtId="0" fontId="11" fillId="4" borderId="42" xfId="0" applyFont="1" applyFill="1" applyBorder="1" applyAlignment="1">
      <alignment horizontal="center" vertical="center"/>
    </xf>
    <xf numFmtId="0" fontId="11" fillId="4" borderId="44" xfId="0" applyFont="1" applyFill="1" applyBorder="1" applyAlignment="1">
      <alignment horizontal="center" vertical="center"/>
    </xf>
    <xf numFmtId="4" fontId="8" fillId="5" borderId="42" xfId="0" applyNumberFormat="1" applyFont="1" applyFill="1" applyBorder="1" applyAlignment="1">
      <alignment horizontal="center" vertical="center"/>
    </xf>
    <xf numFmtId="4" fontId="8" fillId="5" borderId="44" xfId="0" applyNumberFormat="1" applyFont="1" applyFill="1" applyBorder="1" applyAlignment="1">
      <alignment horizontal="center" vertical="center"/>
    </xf>
    <xf numFmtId="0" fontId="37" fillId="0" borderId="0" xfId="0" applyFont="1" applyAlignment="1">
      <alignment horizontal="center"/>
    </xf>
    <xf numFmtId="0" fontId="18" fillId="0" borderId="40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8" fillId="14" borderId="21" xfId="0" applyFont="1" applyFill="1" applyBorder="1" applyAlignment="1">
      <alignment horizontal="center" vertical="center"/>
    </xf>
    <xf numFmtId="0" fontId="18" fillId="14" borderId="2" xfId="0" applyFont="1" applyFill="1" applyBorder="1" applyAlignment="1">
      <alignment horizontal="center" vertical="center"/>
    </xf>
    <xf numFmtId="0" fontId="18" fillId="14" borderId="22" xfId="0" applyFont="1" applyFill="1" applyBorder="1" applyAlignment="1">
      <alignment horizontal="center" vertical="center"/>
    </xf>
    <xf numFmtId="0" fontId="18" fillId="14" borderId="28" xfId="0" applyFont="1" applyFill="1" applyBorder="1" applyAlignment="1">
      <alignment horizontal="center" vertical="center"/>
    </xf>
    <xf numFmtId="0" fontId="18" fillId="14" borderId="29" xfId="0" applyFont="1" applyFill="1" applyBorder="1" applyAlignment="1">
      <alignment horizontal="center" vertical="center"/>
    </xf>
    <xf numFmtId="0" fontId="18" fillId="14" borderId="30" xfId="0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/>
    </xf>
    <xf numFmtId="0" fontId="18" fillId="3" borderId="37" xfId="0" applyFont="1" applyFill="1" applyBorder="1" applyAlignment="1">
      <alignment horizontal="center" vertical="center"/>
    </xf>
    <xf numFmtId="0" fontId="18" fillId="3" borderId="38" xfId="0" applyFont="1" applyFill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14" borderId="0" xfId="0" applyFont="1" applyFill="1" applyAlignment="1">
      <alignment horizontal="center" vertical="center"/>
    </xf>
    <xf numFmtId="0" fontId="18" fillId="15" borderId="0" xfId="0" applyFont="1" applyFill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0" fillId="0" borderId="1" xfId="0" applyFont="1" applyBorder="1" applyAlignment="1">
      <alignment horizontal="center"/>
    </xf>
    <xf numFmtId="3" fontId="7" fillId="0" borderId="41" xfId="0" applyNumberFormat="1" applyFont="1" applyFill="1" applyBorder="1" applyAlignment="1">
      <alignment horizontal="center" vertical="center"/>
    </xf>
    <xf numFmtId="3" fontId="8" fillId="0" borderId="41" xfId="0" applyNumberFormat="1" applyFont="1" applyFill="1" applyBorder="1" applyAlignment="1">
      <alignment horizontal="center" vertical="center"/>
    </xf>
  </cellXfs>
  <cellStyles count="54">
    <cellStyle name="40% - Accent3" xfId="53" builtinId="39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52" builtinId="9" hidden="1"/>
    <cellStyle name="Followed Hyperlink" xfId="49" builtinId="9" hidden="1"/>
    <cellStyle name="Followed Hyperlink" xfId="41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6" builtinId="9" hidden="1"/>
    <cellStyle name="Followed Hyperlink" xfId="37" builtinId="9" hidden="1"/>
    <cellStyle name="Followed Hyperlink" xfId="39" builtinId="9" hidden="1"/>
    <cellStyle name="Followed Hyperlink" xfId="34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20" builtinId="9" hidden="1"/>
    <cellStyle name="Followed Hyperlink" xfId="18" builtinId="9" hidden="1"/>
    <cellStyle name="Followed Hyperlink" xfId="7" builtinId="9" hidden="1"/>
    <cellStyle name="Followed Hyperlink" xfId="10" builtinId="9" hidden="1"/>
    <cellStyle name="Followed Hyperlink" xfId="5" builtinId="9" hidden="1"/>
    <cellStyle name="Hyperlink" xfId="27" builtinId="8" hidden="1"/>
    <cellStyle name="Hyperlink" xfId="29" builtinId="8" hidden="1"/>
    <cellStyle name="Hyperlink" xfId="31" builtinId="8" hidden="1"/>
    <cellStyle name="Hyperlink" xfId="35" builtinId="8" hidden="1"/>
    <cellStyle name="Hyperlink" xfId="38" builtinId="8" hidden="1"/>
    <cellStyle name="Hyperlink" xfId="40" builtinId="8" hidden="1"/>
    <cellStyle name="Hyperlink" xfId="44" builtinId="8" hidden="1"/>
    <cellStyle name="Hyperlink" xfId="46" builtinId="8" hidden="1"/>
    <cellStyle name="Hyperlink" xfId="48" builtinId="8" hidden="1"/>
    <cellStyle name="Hyperlink" xfId="51" builtinId="8" hidden="1"/>
    <cellStyle name="Hyperlink" xfId="50" builtinId="8" hidden="1"/>
    <cellStyle name="Hyperlink" xfId="42" builtinId="8" hidden="1"/>
    <cellStyle name="Hyperlink" xfId="33" builtinId="8" hidden="1"/>
    <cellStyle name="Hyperlink" xfId="25" builtinId="8" hidden="1"/>
    <cellStyle name="Hyperlink" xfId="13" builtinId="8" hidden="1"/>
    <cellStyle name="Hyperlink" xfId="15" builtinId="8" hidden="1"/>
    <cellStyle name="Hyperlink" xfId="19" builtinId="8" hidden="1"/>
    <cellStyle name="Hyperlink" xfId="21" builtinId="8" hidden="1"/>
    <cellStyle name="Hyperlink" xfId="23" builtinId="8" hidden="1"/>
    <cellStyle name="Hyperlink" xfId="17" builtinId="8" hidden="1"/>
    <cellStyle name="Hyperlink" xfId="9" builtinId="8" hidden="1"/>
    <cellStyle name="Hyperlink" xfId="11" builtinId="8" hidden="1"/>
    <cellStyle name="Hyperlink" xfId="6" builtinId="8" hidden="1"/>
    <cellStyle name="Hyperlink" xfId="4" builtinId="8" hidden="1"/>
    <cellStyle name="Moneda 2" xfId="3" xr:uid="{00000000-0005-0000-0000-000030000000}"/>
    <cellStyle name="Normal" xfId="0" builtinId="0"/>
    <cellStyle name="Normal 4" xfId="2" xr:uid="{00000000-0005-0000-0000-000032000000}"/>
    <cellStyle name="Per cent" xfId="1" builtinId="5"/>
    <cellStyle name="Porcentaje 2" xfId="8" xr:uid="{00000000-0005-0000-0000-000034000000}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mruColors>
      <color rgb="FFE3B5BA"/>
      <color rgb="FF0C3B4D"/>
      <color rgb="FF7AA69D"/>
      <color rgb="FFE38B95"/>
      <color rgb="FFE8E88E"/>
      <color rgb="FFF5CA96"/>
      <color rgb="FF7FC4B8"/>
      <color rgb="FF62A3E8"/>
      <color rgb="FFCFE0FF"/>
      <color rgb="FFAA3F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sabel Iborra" id="{2EC15870-734B-0A4B-89E1-F4E4A72EE913}" userId="S::isa@wedo-projects.com::d18fc215-5e97-4eff-b8d2-fb6577e376d3" providerId="AD"/>
  <person displayName="Ángel Honrado" id="{D0F4BDE6-DCBC-5A4F-93BB-9339CD3C1DF3}" userId="S::angel@wedo-projects.com::33527b1f-d475-4905-aa54-759f99af41fb" providerId="AD"/>
</personList>
</file>

<file path=xl/theme/theme1.xml><?xml version="1.0" encoding="utf-8"?>
<a:theme xmlns:a="http://schemas.openxmlformats.org/drawingml/2006/main" name="Tema de Office">
  <a:themeElements>
    <a:clrScheme name="Violeta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1" dT="2021-09-17T11:49:47.47" personId="{2EC15870-734B-0A4B-89E1-F4E4A72EE913}" id="{FAE9EF37-24A7-F941-8A17-51FE2B22043A}">
    <text>PI's will travel abroad once a year</text>
  </threadedComment>
  <threadedComment ref="L11" dT="2021-09-17T11:50:20.73" personId="{2EC15870-734B-0A4B-89E1-F4E4A72EE913}" id="{3C31461D-D997-E740-B1E2-1C9F4B65924A}">
    <text>Tarvel costs (2x per year) to partner countries</text>
  </threadedComment>
  <threadedComment ref="C12" dT="2021-09-17T11:49:58.42" personId="{2EC15870-734B-0A4B-89E1-F4E4A72EE913}" id="{D188C9A6-F73E-1243-8526-9B0F80B29945}">
    <text>2 Advisory bord meeting in Israel</text>
  </threadedComment>
  <threadedComment ref="L12" dT="2021-09-17T11:50:36.39" personId="{2EC15870-734B-0A4B-89E1-F4E4A72EE913}" id="{079971EC-817D-6F41-8BA7-9E5CD1ACD71B}">
    <text>Relation-oriented costs</text>
  </threadedComment>
  <threadedComment ref="C14" dT="2021-09-17T13:58:27.96" personId="{2EC15870-734B-0A4B-89E1-F4E4A72EE913}" id="{10A2C25E-7B75-C74D-A691-D914145B8959}">
    <text>4 computers</text>
  </threadedComment>
  <threadedComment ref="Q14" dT="2021-09-17T13:58:55.50" personId="{2EC15870-734B-0A4B-89E1-F4E4A72EE913}" id="{3AE7DE82-454E-6940-ADB8-0EA499C960AE}">
    <text>Laptop</text>
  </threadedComment>
  <threadedComment ref="C20" dT="2021-09-17T11:51:09.77" personId="{2EC15870-734B-0A4B-89E1-F4E4A72EE913}" id="{B47F216E-51F2-124F-8203-98D0746B00BF}">
    <text>Publications &amp; Editing</text>
  </threadedComment>
  <threadedComment ref="L20" dT="2021-09-17T11:51:43.02" personId="{2EC15870-734B-0A4B-89E1-F4E4A72EE913}" id="{A9E9078A-33C5-6F45-99A5-11646207A95A}">
    <text>Editing paper scientifique journal</text>
  </threadedComment>
  <threadedComment ref="L23" dT="2021-09-17T11:52:28.93" personId="{2EC15870-734B-0A4B-89E1-F4E4A72EE913}" id="{A70C3E8D-651B-B148-9885-D0A0B64CA120}">
    <text>Printing + statistics</text>
  </threadedComment>
  <threadedComment ref="E39" dT="2021-09-17T09:50:14.98" personId="{2EC15870-734B-0A4B-89E1-F4E4A72EE913}" id="{88186A71-D6D9-9546-AFE1-B436A3983B84}">
    <text>Estimated by BIU 97,20</text>
  </threadedComment>
  <threadedComment ref="C43" dT="2021-09-17T09:47:55.02" personId="{2EC15870-734B-0A4B-89E1-F4E4A72EE913}" id="{7CB54C7B-6692-9644-A758-2074C626E054}">
    <text>workshop in HU + Helsinki</text>
  </threadedComment>
  <threadedComment ref="G47" dT="2021-09-11T20:16:53.25" personId="{D0F4BDE6-DCBC-5A4F-93BB-9339CD3C1DF3}" id="{E1A668DB-4D34-C94C-B33C-FD5E653E9E27}">
    <text>Laboratory analyses</text>
  </threadedComment>
  <threadedComment ref="H47" dT="2021-09-06T09:27:54.26" personId="{2EC15870-734B-0A4B-89E1-F4E4A72EE913}" id="{674695AF-EE74-2B4D-AAF6-1AB3A0F79B03}">
    <text xml:space="preserve">1.500 EUR for survey license
</text>
  </threadedComment>
  <threadedComment ref="F50" dT="2021-09-10T14:42:59.96" personId="{D0F4BDE6-DCBC-5A4F-93BB-9339CD3C1DF3}" id="{2FFAFB20-A1B8-B946-9FC4-A1A2BFE6F770}">
    <text>Laptops</text>
  </threadedComment>
  <threadedComment ref="L53" dT="2021-09-09T08:00:55.22" personId="{D0F4BDE6-DCBC-5A4F-93BB-9339CD3C1DF3}" id="{58FFBA5D-0198-654A-9AED-4C7F005797B6}">
    <text>Printing + statistics</text>
  </threadedComment>
  <threadedComment ref="C55" dT="2021-09-10T16:18:43.55" personId="{D0F4BDE6-DCBC-5A4F-93BB-9339CD3C1DF3}" id="{69F9F628-3640-BF42-8493-A41611BFD93B}">
    <text>Setting: Maccabi Health care services (HMO)</text>
  </threadedComment>
  <threadedComment ref="F55" dT="2021-09-10T14:42:11.00" personId="{D0F4BDE6-DCBC-5A4F-93BB-9339CD3C1DF3}" id="{3B54EB2D-BED3-4C4E-959C-FB2DE81022EA}">
    <text>Intervention site</text>
  </threadedComment>
  <threadedComment ref="L55" dT="2021-09-16T13:00:10.93" personId="{D0F4BDE6-DCBC-5A4F-93BB-9339CD3C1DF3}" id="{87DF75A1-9BF4-6145-8BC4-9BAE21BA0F8A}">
    <text>Intervention sites</text>
  </threadedComment>
  <threadedComment ref="L55" dT="2021-09-17T08:33:42.33" personId="{2EC15870-734B-0A4B-89E1-F4E4A72EE913}" id="{75D72187-3396-2D4C-917C-9A11E7A700E2}" parentId="{87DF75A1-9BF4-6145-8BC4-9BAE21BA0F8A}">
    <text>17000€/YEAR = 51.000€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59B5C-798D-8A4E-AD44-7114DFA114DF}">
  <dimension ref="A1:V46"/>
  <sheetViews>
    <sheetView tabSelected="1" workbookViewId="0">
      <selection activeCell="H16" sqref="H16"/>
    </sheetView>
  </sheetViews>
  <sheetFormatPr baseColWidth="10" defaultColWidth="11.5" defaultRowHeight="15"/>
  <cols>
    <col min="2" max="2" width="58.6640625" style="189" customWidth="1"/>
    <col min="3" max="3" width="11.6640625" style="192" bestFit="1" customWidth="1"/>
    <col min="4" max="14" width="10.83203125" style="192"/>
    <col min="15" max="15" width="11.6640625" style="191" bestFit="1" customWidth="1"/>
    <col min="17" max="17" width="7.1640625" customWidth="1"/>
  </cols>
  <sheetData>
    <row r="1" spans="1:18">
      <c r="C1" s="156">
        <v>1</v>
      </c>
      <c r="D1" s="157">
        <v>2</v>
      </c>
      <c r="E1" s="158">
        <v>3</v>
      </c>
      <c r="F1" s="124">
        <v>4</v>
      </c>
      <c r="G1" s="156">
        <v>5</v>
      </c>
      <c r="H1" s="157">
        <v>6</v>
      </c>
      <c r="I1" s="158">
        <v>7</v>
      </c>
      <c r="J1" s="124">
        <v>8</v>
      </c>
      <c r="K1" s="156">
        <v>9</v>
      </c>
      <c r="L1" s="157">
        <v>10</v>
      </c>
      <c r="M1" s="158">
        <v>11</v>
      </c>
      <c r="N1" s="124">
        <v>12</v>
      </c>
    </row>
    <row r="2" spans="1:18">
      <c r="C2" s="156" t="s">
        <v>0</v>
      </c>
      <c r="D2" s="157" t="s">
        <v>1</v>
      </c>
      <c r="E2" s="158" t="s">
        <v>2</v>
      </c>
      <c r="F2" s="124" t="s">
        <v>3</v>
      </c>
      <c r="G2" s="156" t="s">
        <v>4</v>
      </c>
      <c r="H2" s="157" t="s">
        <v>5</v>
      </c>
      <c r="I2" s="158" t="s">
        <v>6</v>
      </c>
      <c r="J2" s="124" t="s">
        <v>7</v>
      </c>
      <c r="K2" s="156" t="s">
        <v>8</v>
      </c>
      <c r="L2" s="157" t="s">
        <v>9</v>
      </c>
      <c r="M2" s="158" t="s">
        <v>10</v>
      </c>
      <c r="N2" s="124" t="s">
        <v>11</v>
      </c>
      <c r="O2" s="191" t="s">
        <v>12</v>
      </c>
      <c r="P2" s="194" t="s">
        <v>13</v>
      </c>
    </row>
    <row r="3" spans="1:18">
      <c r="B3" s="190" t="s">
        <v>14</v>
      </c>
      <c r="C3" s="256"/>
      <c r="D3" s="256">
        <v>6</v>
      </c>
      <c r="E3" s="256"/>
      <c r="F3" s="256"/>
      <c r="G3" s="196">
        <v>12</v>
      </c>
      <c r="H3" s="256"/>
      <c r="I3" s="256">
        <v>3</v>
      </c>
      <c r="J3" s="256"/>
      <c r="K3" s="256">
        <v>5</v>
      </c>
      <c r="L3" s="256"/>
      <c r="M3" s="256"/>
      <c r="N3" s="256">
        <v>6</v>
      </c>
      <c r="O3" s="193">
        <f>SUM(C3:N3)</f>
        <v>32</v>
      </c>
      <c r="P3" s="195">
        <f>O3/$O$13</f>
        <v>4.2188529993408039E-2</v>
      </c>
    </row>
    <row r="4" spans="1:18">
      <c r="B4" s="190" t="s">
        <v>15</v>
      </c>
      <c r="C4" s="256">
        <v>11</v>
      </c>
      <c r="D4" s="256"/>
      <c r="E4" s="256"/>
      <c r="F4" s="256"/>
      <c r="G4" s="256">
        <v>13</v>
      </c>
      <c r="H4" s="256"/>
      <c r="I4" s="256">
        <v>7</v>
      </c>
      <c r="J4" s="256"/>
      <c r="K4" s="196">
        <v>34</v>
      </c>
      <c r="L4" s="256">
        <v>4</v>
      </c>
      <c r="M4" s="256"/>
      <c r="N4" s="256">
        <v>6</v>
      </c>
      <c r="O4" s="193">
        <f t="shared" ref="O4:O12" si="0">SUM(C4:N4)</f>
        <v>75</v>
      </c>
      <c r="P4" s="195">
        <f t="shared" ref="P4:P14" si="1">O4/$O$13</f>
        <v>9.8879367172050092E-2</v>
      </c>
    </row>
    <row r="5" spans="1:18">
      <c r="B5" s="190" t="s">
        <v>16</v>
      </c>
      <c r="C5" s="256">
        <v>6</v>
      </c>
      <c r="D5" s="196">
        <v>33</v>
      </c>
      <c r="E5" s="256"/>
      <c r="F5" s="256"/>
      <c r="G5" s="256">
        <v>23</v>
      </c>
      <c r="H5" s="256"/>
      <c r="I5" s="256">
        <v>32</v>
      </c>
      <c r="J5" s="256">
        <v>18</v>
      </c>
      <c r="K5" s="256"/>
      <c r="L5" s="256"/>
      <c r="M5" s="256"/>
      <c r="N5" s="256"/>
      <c r="O5" s="193">
        <f t="shared" si="0"/>
        <v>112</v>
      </c>
      <c r="P5" s="195">
        <f t="shared" si="1"/>
        <v>0.14765985497692816</v>
      </c>
    </row>
    <row r="6" spans="1:18">
      <c r="B6" s="190" t="s">
        <v>17</v>
      </c>
      <c r="C6" s="256">
        <v>15</v>
      </c>
      <c r="D6" s="256"/>
      <c r="E6" s="256"/>
      <c r="F6" s="256">
        <v>26</v>
      </c>
      <c r="G6" s="256"/>
      <c r="H6" s="256">
        <v>15</v>
      </c>
      <c r="I6" s="256">
        <v>10</v>
      </c>
      <c r="J6" s="196">
        <v>28</v>
      </c>
      <c r="K6" s="256"/>
      <c r="L6" s="256">
        <v>5</v>
      </c>
      <c r="M6" s="256">
        <v>2</v>
      </c>
      <c r="N6" s="256"/>
      <c r="O6" s="193">
        <f t="shared" si="0"/>
        <v>101</v>
      </c>
      <c r="P6" s="195">
        <f t="shared" si="1"/>
        <v>0.13315754779169414</v>
      </c>
    </row>
    <row r="7" spans="1:18">
      <c r="B7" s="190" t="s">
        <v>18</v>
      </c>
      <c r="C7" s="256">
        <v>30</v>
      </c>
      <c r="D7" s="256"/>
      <c r="E7" s="256">
        <v>3</v>
      </c>
      <c r="F7" s="256"/>
      <c r="G7" s="256"/>
      <c r="H7" s="196">
        <v>36</v>
      </c>
      <c r="I7" s="256">
        <v>22</v>
      </c>
      <c r="J7" s="256"/>
      <c r="K7" s="256"/>
      <c r="L7" s="256">
        <v>10</v>
      </c>
      <c r="M7" s="256">
        <v>2</v>
      </c>
      <c r="N7" s="256"/>
      <c r="O7" s="193">
        <f t="shared" si="0"/>
        <v>103</v>
      </c>
      <c r="P7" s="195">
        <f t="shared" si="1"/>
        <v>0.13579433091628212</v>
      </c>
    </row>
    <row r="8" spans="1:18">
      <c r="B8" s="190" t="s">
        <v>19</v>
      </c>
      <c r="C8" s="196">
        <v>38</v>
      </c>
      <c r="D8" s="256"/>
      <c r="E8" s="256">
        <v>18</v>
      </c>
      <c r="F8" s="256"/>
      <c r="G8" s="256"/>
      <c r="H8" s="256"/>
      <c r="I8" s="256">
        <v>13</v>
      </c>
      <c r="J8" s="256">
        <v>17</v>
      </c>
      <c r="K8" s="256">
        <v>14</v>
      </c>
      <c r="L8" s="256">
        <v>5</v>
      </c>
      <c r="M8" s="256"/>
      <c r="N8" s="256"/>
      <c r="O8" s="193">
        <v>95</v>
      </c>
      <c r="P8" s="195">
        <f t="shared" si="1"/>
        <v>0.12524719841793014</v>
      </c>
    </row>
    <row r="9" spans="1:18">
      <c r="B9" s="190" t="s">
        <v>20</v>
      </c>
      <c r="C9" s="196">
        <v>13</v>
      </c>
      <c r="D9" s="256"/>
      <c r="E9" s="256">
        <v>5</v>
      </c>
      <c r="F9" s="256"/>
      <c r="G9" s="256">
        <v>7.5</v>
      </c>
      <c r="H9" s="256"/>
      <c r="I9" s="256">
        <v>6.5</v>
      </c>
      <c r="J9" s="256"/>
      <c r="K9" s="256"/>
      <c r="L9" s="256"/>
      <c r="M9" s="256"/>
      <c r="N9" s="256"/>
      <c r="O9" s="193">
        <f t="shared" si="0"/>
        <v>32</v>
      </c>
      <c r="P9" s="195">
        <f t="shared" si="1"/>
        <v>4.2188529993408039E-2</v>
      </c>
    </row>
    <row r="10" spans="1:18">
      <c r="B10" s="190" t="s">
        <v>21</v>
      </c>
      <c r="C10" s="256">
        <v>3.5</v>
      </c>
      <c r="D10" s="256"/>
      <c r="E10" s="196">
        <v>20</v>
      </c>
      <c r="F10" s="256"/>
      <c r="G10" s="256"/>
      <c r="H10" s="256">
        <v>3</v>
      </c>
      <c r="I10" s="256">
        <v>0</v>
      </c>
      <c r="J10" s="256">
        <v>9</v>
      </c>
      <c r="K10" s="256"/>
      <c r="L10" s="256"/>
      <c r="M10" s="256"/>
      <c r="N10" s="256"/>
      <c r="O10" s="193">
        <f t="shared" si="0"/>
        <v>35.5</v>
      </c>
      <c r="P10" s="195">
        <f t="shared" si="1"/>
        <v>4.680290046143705E-2</v>
      </c>
    </row>
    <row r="11" spans="1:18">
      <c r="B11" s="190" t="s">
        <v>22</v>
      </c>
      <c r="C11" s="256">
        <v>12</v>
      </c>
      <c r="D11" s="256">
        <v>3</v>
      </c>
      <c r="E11" s="256">
        <v>6</v>
      </c>
      <c r="F11" s="256">
        <v>3</v>
      </c>
      <c r="G11" s="256">
        <v>3</v>
      </c>
      <c r="H11" s="256">
        <v>3</v>
      </c>
      <c r="I11" s="256">
        <v>3</v>
      </c>
      <c r="J11" s="256">
        <v>6</v>
      </c>
      <c r="K11" s="256">
        <v>3</v>
      </c>
      <c r="L11" s="256">
        <v>3</v>
      </c>
      <c r="M11" s="196">
        <v>50</v>
      </c>
      <c r="N11" s="256">
        <v>3</v>
      </c>
      <c r="O11" s="193">
        <f t="shared" si="0"/>
        <v>98</v>
      </c>
      <c r="P11" s="195">
        <f t="shared" si="1"/>
        <v>0.12920237310481214</v>
      </c>
    </row>
    <row r="12" spans="1:18">
      <c r="B12" s="190" t="s">
        <v>23</v>
      </c>
      <c r="C12" s="256">
        <v>30</v>
      </c>
      <c r="D12" s="256">
        <v>6</v>
      </c>
      <c r="E12" s="256"/>
      <c r="F12" s="256"/>
      <c r="G12" s="256">
        <v>6</v>
      </c>
      <c r="H12" s="256">
        <v>6</v>
      </c>
      <c r="I12" s="256"/>
      <c r="J12" s="256">
        <v>6</v>
      </c>
      <c r="K12" s="256">
        <v>6</v>
      </c>
      <c r="L12" s="256"/>
      <c r="M12" s="256">
        <v>15</v>
      </c>
      <c r="N12" s="256"/>
      <c r="O12" s="193">
        <f t="shared" si="0"/>
        <v>75</v>
      </c>
      <c r="P12" s="195">
        <f t="shared" si="1"/>
        <v>9.8879367172050092E-2</v>
      </c>
    </row>
    <row r="13" spans="1:18">
      <c r="B13" s="190"/>
      <c r="C13" s="224">
        <f>SUM(C3:C12)</f>
        <v>158.5</v>
      </c>
      <c r="D13" s="193">
        <f t="shared" ref="D13:O13" si="2">SUM(D3:D12)</f>
        <v>48</v>
      </c>
      <c r="E13" s="193">
        <f t="shared" si="2"/>
        <v>52</v>
      </c>
      <c r="F13" s="193">
        <f t="shared" si="2"/>
        <v>29</v>
      </c>
      <c r="G13" s="193">
        <f t="shared" si="2"/>
        <v>64.5</v>
      </c>
      <c r="H13" s="193">
        <f t="shared" si="2"/>
        <v>63</v>
      </c>
      <c r="I13" s="193">
        <f t="shared" si="2"/>
        <v>96.5</v>
      </c>
      <c r="J13" s="193">
        <f t="shared" si="2"/>
        <v>84</v>
      </c>
      <c r="K13" s="193">
        <f t="shared" si="2"/>
        <v>62</v>
      </c>
      <c r="L13" s="193">
        <f t="shared" si="2"/>
        <v>27</v>
      </c>
      <c r="M13" s="193">
        <f t="shared" si="2"/>
        <v>69</v>
      </c>
      <c r="N13" s="193">
        <f t="shared" si="2"/>
        <v>15</v>
      </c>
      <c r="O13" s="193">
        <f t="shared" si="2"/>
        <v>758.5</v>
      </c>
      <c r="P13" s="195">
        <f t="shared" si="1"/>
        <v>1</v>
      </c>
    </row>
    <row r="14" spans="1:18">
      <c r="P14" s="195">
        <f t="shared" si="1"/>
        <v>0</v>
      </c>
    </row>
    <row r="15" spans="1:18" s="2" customFormat="1">
      <c r="A15" s="1"/>
      <c r="B15" s="130" t="s">
        <v>24</v>
      </c>
      <c r="C15" s="188">
        <v>6200</v>
      </c>
      <c r="D15" s="188">
        <v>5500</v>
      </c>
      <c r="E15" s="188">
        <v>8000</v>
      </c>
      <c r="F15" s="188">
        <v>6000</v>
      </c>
      <c r="G15" s="188">
        <v>5500</v>
      </c>
      <c r="H15" s="188">
        <v>6200</v>
      </c>
      <c r="I15" s="188">
        <v>4500</v>
      </c>
      <c r="J15" s="188">
        <v>5500</v>
      </c>
      <c r="K15" s="188">
        <v>8000</v>
      </c>
      <c r="L15" s="188">
        <v>6000</v>
      </c>
      <c r="M15" s="188">
        <v>5500</v>
      </c>
      <c r="N15" s="188">
        <v>8000</v>
      </c>
      <c r="O15" s="4"/>
      <c r="P15" s="4"/>
      <c r="Q15" s="4"/>
      <c r="R15"/>
    </row>
    <row r="16" spans="1:18" s="2" customFormat="1">
      <c r="A16" s="1"/>
      <c r="B16" s="130" t="s">
        <v>25</v>
      </c>
      <c r="C16" s="151">
        <v>0.25</v>
      </c>
      <c r="D16" s="151">
        <v>0.25</v>
      </c>
      <c r="E16" s="151">
        <v>0.25</v>
      </c>
      <c r="F16" s="151">
        <v>0.25</v>
      </c>
      <c r="G16" s="151">
        <v>0.25</v>
      </c>
      <c r="H16" s="151">
        <v>0.25</v>
      </c>
      <c r="I16" s="151">
        <v>0.25</v>
      </c>
      <c r="J16" s="151">
        <v>0.25</v>
      </c>
      <c r="K16" s="151">
        <v>0.25</v>
      </c>
      <c r="L16" s="151">
        <v>0.25</v>
      </c>
      <c r="M16" s="151">
        <v>0.25</v>
      </c>
      <c r="N16" s="151">
        <v>0.25</v>
      </c>
      <c r="O16" s="4"/>
      <c r="P16" s="4"/>
      <c r="Q16" s="4"/>
      <c r="R16" s="4"/>
    </row>
    <row r="17" spans="1:18" s="2" customFormat="1">
      <c r="A17" s="1"/>
      <c r="B17" s="130" t="s">
        <v>26</v>
      </c>
      <c r="C17" s="150">
        <f t="shared" ref="C17:K17" si="3">IF(C18="RTD",100%,IF(C18="INNOVATION",70%," "))</f>
        <v>1</v>
      </c>
      <c r="D17" s="150">
        <f t="shared" si="3"/>
        <v>1</v>
      </c>
      <c r="E17" s="150">
        <f t="shared" si="3"/>
        <v>1</v>
      </c>
      <c r="F17" s="150">
        <f t="shared" si="3"/>
        <v>1</v>
      </c>
      <c r="G17" s="150">
        <f t="shared" si="3"/>
        <v>1</v>
      </c>
      <c r="H17" s="150">
        <f t="shared" si="3"/>
        <v>1</v>
      </c>
      <c r="I17" s="150">
        <f t="shared" si="3"/>
        <v>1</v>
      </c>
      <c r="J17" s="150">
        <f t="shared" si="3"/>
        <v>1</v>
      </c>
      <c r="K17" s="150">
        <f t="shared" si="3"/>
        <v>1</v>
      </c>
      <c r="L17" s="150">
        <f>IF(L18="RTD",100%,IF(L18="INNOVATION",70%," "))</f>
        <v>1</v>
      </c>
      <c r="M17" s="150">
        <v>1</v>
      </c>
      <c r="N17" s="150">
        <v>1</v>
      </c>
      <c r="O17" s="4"/>
      <c r="P17" s="4"/>
      <c r="Q17" s="4"/>
      <c r="R17" s="4"/>
    </row>
    <row r="18" spans="1:18" s="2" customFormat="1">
      <c r="B18" s="130" t="s">
        <v>27</v>
      </c>
      <c r="C18" s="5" t="s">
        <v>28</v>
      </c>
      <c r="D18" s="5" t="s">
        <v>28</v>
      </c>
      <c r="E18" s="5" t="s">
        <v>28</v>
      </c>
      <c r="F18" s="5" t="s">
        <v>28</v>
      </c>
      <c r="G18" s="5" t="s">
        <v>28</v>
      </c>
      <c r="H18" s="5" t="s">
        <v>28</v>
      </c>
      <c r="I18" s="5" t="s">
        <v>28</v>
      </c>
      <c r="J18" s="5" t="s">
        <v>28</v>
      </c>
      <c r="K18" s="5" t="s">
        <v>28</v>
      </c>
      <c r="L18" s="5" t="s">
        <v>28</v>
      </c>
      <c r="M18" s="5" t="s">
        <v>28</v>
      </c>
      <c r="N18" s="5" t="s">
        <v>28</v>
      </c>
      <c r="O18" s="4"/>
      <c r="P18" s="4"/>
      <c r="Q18" s="4"/>
      <c r="R18" s="4"/>
    </row>
    <row r="19" spans="1:18" s="2" customFormat="1" ht="7" customHeight="1">
      <c r="A19" s="1"/>
      <c r="B19" s="6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spans="1:18" s="2" customFormat="1">
      <c r="A20" s="1"/>
      <c r="B20" s="160" t="s">
        <v>29</v>
      </c>
      <c r="C20" s="4"/>
      <c r="D20" s="4"/>
      <c r="E20" s="4"/>
      <c r="F20" s="4"/>
      <c r="G20" s="4"/>
      <c r="H20" s="155"/>
      <c r="I20" s="4"/>
      <c r="J20" s="4"/>
      <c r="K20" s="4"/>
      <c r="L20" s="4"/>
      <c r="M20" s="4"/>
      <c r="N20" s="155"/>
      <c r="O20" s="4"/>
      <c r="P20" s="4"/>
      <c r="Q20" s="4"/>
      <c r="R20" s="4"/>
    </row>
    <row r="21" spans="1:18" s="2" customFormat="1">
      <c r="A21" s="1"/>
      <c r="B21" s="125" t="s">
        <v>30</v>
      </c>
      <c r="C21" s="131">
        <f>+C13</f>
        <v>158.5</v>
      </c>
      <c r="D21" s="131">
        <f t="shared" ref="D21:N21" si="4">+D13</f>
        <v>48</v>
      </c>
      <c r="E21" s="131">
        <f t="shared" si="4"/>
        <v>52</v>
      </c>
      <c r="F21" s="131">
        <f t="shared" si="4"/>
        <v>29</v>
      </c>
      <c r="G21" s="131">
        <f t="shared" si="4"/>
        <v>64.5</v>
      </c>
      <c r="H21" s="131">
        <f t="shared" si="4"/>
        <v>63</v>
      </c>
      <c r="I21" s="131">
        <f t="shared" si="4"/>
        <v>96.5</v>
      </c>
      <c r="J21" s="131">
        <f t="shared" si="4"/>
        <v>84</v>
      </c>
      <c r="K21" s="131">
        <f>+K13</f>
        <v>62</v>
      </c>
      <c r="L21" s="131">
        <f t="shared" si="4"/>
        <v>27</v>
      </c>
      <c r="M21" s="131">
        <f t="shared" si="4"/>
        <v>69</v>
      </c>
      <c r="N21" s="131">
        <f t="shared" si="4"/>
        <v>15</v>
      </c>
      <c r="O21" s="133">
        <f t="shared" ref="O21:O37" si="5">SUM(C21:N21)</f>
        <v>768.5</v>
      </c>
      <c r="P21" s="134" t="s">
        <v>13</v>
      </c>
    </row>
    <row r="22" spans="1:18" s="2" customFormat="1">
      <c r="A22" s="1"/>
      <c r="B22" s="125" t="s">
        <v>31</v>
      </c>
      <c r="C22" s="132">
        <f>ROUND((C21*C15),0)</f>
        <v>982700</v>
      </c>
      <c r="D22" s="132">
        <f t="shared" ref="D22:N22" si="6">ROUND((D21*D15),0)</f>
        <v>264000</v>
      </c>
      <c r="E22" s="132">
        <f t="shared" si="6"/>
        <v>416000</v>
      </c>
      <c r="F22" s="132">
        <f t="shared" si="6"/>
        <v>174000</v>
      </c>
      <c r="G22" s="132">
        <f t="shared" si="6"/>
        <v>354750</v>
      </c>
      <c r="H22" s="132">
        <f t="shared" si="6"/>
        <v>390600</v>
      </c>
      <c r="I22" s="132">
        <f t="shared" si="6"/>
        <v>434250</v>
      </c>
      <c r="J22" s="132">
        <f t="shared" si="6"/>
        <v>462000</v>
      </c>
      <c r="K22" s="132">
        <f t="shared" si="6"/>
        <v>496000</v>
      </c>
      <c r="L22" s="132">
        <f t="shared" si="6"/>
        <v>162000</v>
      </c>
      <c r="M22" s="132">
        <f t="shared" si="6"/>
        <v>379500</v>
      </c>
      <c r="N22" s="132">
        <f t="shared" si="6"/>
        <v>120000</v>
      </c>
      <c r="O22" s="135">
        <f t="shared" si="5"/>
        <v>4635800</v>
      </c>
      <c r="P22" s="136">
        <f>O22/O40</f>
        <v>0.6011443761853047</v>
      </c>
    </row>
    <row r="23" spans="1:18" s="2" customFormat="1">
      <c r="A23" s="1"/>
      <c r="B23" s="126" t="s">
        <v>32</v>
      </c>
      <c r="C23" s="140">
        <f>5*3*1500</f>
        <v>22500</v>
      </c>
      <c r="D23" s="140">
        <f t="shared" ref="D23:N23" si="7">5*2*1500</f>
        <v>15000</v>
      </c>
      <c r="E23" s="140">
        <f t="shared" si="7"/>
        <v>15000</v>
      </c>
      <c r="F23" s="140">
        <f t="shared" si="7"/>
        <v>15000</v>
      </c>
      <c r="G23" s="140">
        <f t="shared" si="7"/>
        <v>15000</v>
      </c>
      <c r="H23" s="140">
        <f t="shared" si="7"/>
        <v>15000</v>
      </c>
      <c r="I23" s="140">
        <f t="shared" si="7"/>
        <v>15000</v>
      </c>
      <c r="J23" s="140">
        <f t="shared" si="7"/>
        <v>15000</v>
      </c>
      <c r="K23" s="140">
        <f t="shared" si="7"/>
        <v>15000</v>
      </c>
      <c r="L23" s="140">
        <f t="shared" si="7"/>
        <v>15000</v>
      </c>
      <c r="M23" s="140">
        <f t="shared" si="7"/>
        <v>15000</v>
      </c>
      <c r="N23" s="140">
        <f t="shared" si="7"/>
        <v>15000</v>
      </c>
      <c r="O23" s="137">
        <f t="shared" si="5"/>
        <v>187500</v>
      </c>
      <c r="P23" s="138" t="str">
        <f t="shared" ref="P23:P34" si="8">IF($Q$87=0," ",O23/$Q$87)</f>
        <v xml:space="preserve"> </v>
      </c>
    </row>
    <row r="24" spans="1:18" s="2" customFormat="1">
      <c r="A24" s="1"/>
      <c r="B24" s="126" t="s">
        <v>33</v>
      </c>
      <c r="C24" s="142">
        <v>10000</v>
      </c>
      <c r="D24" s="140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37">
        <f t="shared" si="5"/>
        <v>10000</v>
      </c>
      <c r="P24" s="138" t="str">
        <f t="shared" si="8"/>
        <v xml:space="preserve"> </v>
      </c>
    </row>
    <row r="25" spans="1:18" s="2" customFormat="1">
      <c r="A25" s="1"/>
      <c r="B25" s="126" t="s">
        <v>34</v>
      </c>
      <c r="C25" s="140"/>
      <c r="D25" s="140"/>
      <c r="E25" s="142"/>
      <c r="F25" s="142"/>
      <c r="G25" s="142"/>
      <c r="H25" s="142"/>
      <c r="I25" s="142"/>
      <c r="J25" s="142"/>
      <c r="K25" s="142"/>
      <c r="L25" s="142"/>
      <c r="M25" s="142"/>
      <c r="N25" s="142"/>
      <c r="O25" s="137">
        <f t="shared" si="5"/>
        <v>0</v>
      </c>
      <c r="P25" s="138" t="str">
        <f t="shared" si="8"/>
        <v xml:space="preserve"> </v>
      </c>
    </row>
    <row r="26" spans="1:18" s="2" customFormat="1">
      <c r="A26" s="1"/>
      <c r="B26" s="126" t="s">
        <v>35</v>
      </c>
      <c r="C26" s="140"/>
      <c r="D26" s="140"/>
      <c r="E26" s="142"/>
      <c r="F26" s="142"/>
      <c r="G26" s="142"/>
      <c r="H26" s="142"/>
      <c r="I26" s="142"/>
      <c r="J26" s="142"/>
      <c r="K26" s="142"/>
      <c r="L26" s="142"/>
      <c r="M26" s="142">
        <f>80000</f>
        <v>80000</v>
      </c>
      <c r="N26" s="142"/>
      <c r="O26" s="137">
        <f t="shared" si="5"/>
        <v>80000</v>
      </c>
      <c r="P26" s="138" t="str">
        <f t="shared" si="8"/>
        <v xml:space="preserve"> </v>
      </c>
    </row>
    <row r="27" spans="1:18" s="2" customFormat="1">
      <c r="A27" s="1"/>
      <c r="B27" s="126" t="s">
        <v>36</v>
      </c>
      <c r="C27" s="140">
        <f>8*1500</f>
        <v>12000</v>
      </c>
      <c r="D27" s="140">
        <f>4*1500</f>
        <v>6000</v>
      </c>
      <c r="E27" s="140">
        <f t="shared" ref="E27:N27" si="9">4*1500</f>
        <v>6000</v>
      </c>
      <c r="F27" s="140">
        <f t="shared" si="9"/>
        <v>6000</v>
      </c>
      <c r="G27" s="140">
        <f t="shared" si="9"/>
        <v>6000</v>
      </c>
      <c r="H27" s="140">
        <f t="shared" si="9"/>
        <v>6000</v>
      </c>
      <c r="I27" s="140">
        <f t="shared" si="9"/>
        <v>6000</v>
      </c>
      <c r="J27" s="140">
        <f t="shared" si="9"/>
        <v>6000</v>
      </c>
      <c r="K27" s="140">
        <f>4*1500</f>
        <v>6000</v>
      </c>
      <c r="L27" s="140">
        <f t="shared" si="9"/>
        <v>6000</v>
      </c>
      <c r="M27" s="140">
        <f>2*1500</f>
        <v>3000</v>
      </c>
      <c r="N27" s="140">
        <f t="shared" si="9"/>
        <v>6000</v>
      </c>
      <c r="O27" s="137">
        <f t="shared" si="5"/>
        <v>75000</v>
      </c>
      <c r="P27" s="138" t="str">
        <f t="shared" si="8"/>
        <v xml:space="preserve"> </v>
      </c>
    </row>
    <row r="28" spans="1:18" s="2" customFormat="1">
      <c r="A28" s="1"/>
      <c r="B28" s="126" t="s">
        <v>37</v>
      </c>
      <c r="C28" s="257"/>
      <c r="D28" s="257"/>
      <c r="E28" s="257">
        <v>75000</v>
      </c>
      <c r="F28" s="258"/>
      <c r="G28" s="258"/>
      <c r="H28" s="258"/>
      <c r="I28" s="258"/>
      <c r="J28" s="257">
        <v>75000</v>
      </c>
      <c r="K28" s="258"/>
      <c r="L28" s="257">
        <v>25000</v>
      </c>
      <c r="M28" s="258"/>
      <c r="N28" s="258"/>
      <c r="O28" s="137">
        <f t="shared" si="5"/>
        <v>175000</v>
      </c>
      <c r="P28" s="138" t="str">
        <f t="shared" si="8"/>
        <v xml:space="preserve"> </v>
      </c>
    </row>
    <row r="29" spans="1:18" s="2" customFormat="1">
      <c r="A29" s="1"/>
      <c r="B29" s="126" t="s">
        <v>38</v>
      </c>
      <c r="C29" s="257">
        <v>100000</v>
      </c>
      <c r="D29" s="257">
        <v>80000</v>
      </c>
      <c r="E29" s="257"/>
      <c r="F29" s="257">
        <v>150000</v>
      </c>
      <c r="G29" s="257">
        <v>100000</v>
      </c>
      <c r="H29" s="257">
        <v>100000</v>
      </c>
      <c r="I29" s="257">
        <v>100000</v>
      </c>
      <c r="J29" s="257">
        <v>75000</v>
      </c>
      <c r="K29" s="257">
        <v>50000</v>
      </c>
      <c r="L29" s="257"/>
      <c r="M29" s="257"/>
      <c r="N29" s="257">
        <v>100000</v>
      </c>
      <c r="O29" s="137">
        <f t="shared" si="5"/>
        <v>855000</v>
      </c>
      <c r="P29" s="138" t="str">
        <f t="shared" si="8"/>
        <v xml:space="preserve"> </v>
      </c>
    </row>
    <row r="30" spans="1:18" s="2" customFormat="1">
      <c r="A30" s="1"/>
      <c r="B30" s="126" t="s">
        <v>39</v>
      </c>
      <c r="C30" s="140"/>
      <c r="D30" s="140">
        <v>20000</v>
      </c>
      <c r="E30" s="142"/>
      <c r="F30" s="142"/>
      <c r="G30" s="142"/>
      <c r="H30" s="142"/>
      <c r="I30" s="142"/>
      <c r="J30" s="142"/>
      <c r="K30" s="142"/>
      <c r="L30" s="142"/>
      <c r="M30" s="142"/>
      <c r="N30" s="142"/>
      <c r="O30" s="137">
        <f t="shared" si="5"/>
        <v>20000</v>
      </c>
      <c r="P30" s="138" t="str">
        <f t="shared" si="8"/>
        <v xml:space="preserve"> </v>
      </c>
    </row>
    <row r="31" spans="1:18" s="2" customFormat="1">
      <c r="A31" s="1"/>
      <c r="B31" s="126" t="s">
        <v>40</v>
      </c>
      <c r="C31" s="140"/>
      <c r="D31" s="140"/>
      <c r="E31" s="142"/>
      <c r="F31" s="142"/>
      <c r="G31" s="142"/>
      <c r="H31" s="142"/>
      <c r="I31" s="142"/>
      <c r="J31" s="142"/>
      <c r="K31" s="142"/>
      <c r="L31" s="142"/>
      <c r="M31" s="142"/>
      <c r="N31" s="142"/>
      <c r="O31" s="137">
        <f t="shared" si="5"/>
        <v>0</v>
      </c>
      <c r="P31" s="138" t="str">
        <f t="shared" si="8"/>
        <v xml:space="preserve"> </v>
      </c>
    </row>
    <row r="32" spans="1:18" s="2" customFormat="1">
      <c r="A32" s="1"/>
      <c r="B32" s="126" t="s">
        <v>41</v>
      </c>
      <c r="C32" s="140">
        <v>40000</v>
      </c>
      <c r="D32" s="140"/>
      <c r="E32" s="142"/>
      <c r="F32" s="142"/>
      <c r="G32" s="142"/>
      <c r="H32" s="142"/>
      <c r="I32" s="142"/>
      <c r="J32" s="142"/>
      <c r="K32" s="142"/>
      <c r="L32" s="140"/>
      <c r="M32" s="142">
        <v>25000</v>
      </c>
      <c r="N32" s="142"/>
      <c r="O32" s="137">
        <f t="shared" si="5"/>
        <v>65000</v>
      </c>
      <c r="P32" s="138" t="str">
        <f t="shared" si="8"/>
        <v xml:space="preserve"> </v>
      </c>
    </row>
    <row r="33" spans="1:22" s="2" customFormat="1">
      <c r="A33" s="1"/>
      <c r="B33" s="126" t="s">
        <v>42</v>
      </c>
      <c r="C33" s="140">
        <v>6000</v>
      </c>
      <c r="D33" s="140">
        <v>6000</v>
      </c>
      <c r="E33" s="140">
        <v>6000</v>
      </c>
      <c r="F33" s="140">
        <v>6000</v>
      </c>
      <c r="G33" s="140">
        <v>6000</v>
      </c>
      <c r="H33" s="140">
        <v>6000</v>
      </c>
      <c r="I33" s="140">
        <v>6000</v>
      </c>
      <c r="J33" s="140">
        <v>6000</v>
      </c>
      <c r="K33" s="140">
        <v>6000</v>
      </c>
      <c r="L33" s="140"/>
      <c r="M33" s="140">
        <v>6000</v>
      </c>
      <c r="N33" s="140">
        <v>6000</v>
      </c>
      <c r="O33" s="137">
        <f t="shared" si="5"/>
        <v>66000</v>
      </c>
      <c r="P33" s="138" t="str">
        <f t="shared" si="8"/>
        <v xml:space="preserve"> </v>
      </c>
    </row>
    <row r="34" spans="1:22" s="2" customFormat="1">
      <c r="A34" s="1"/>
      <c r="B34" s="126" t="s">
        <v>43</v>
      </c>
      <c r="C34" s="140"/>
      <c r="D34" s="140"/>
      <c r="E34" s="142"/>
      <c r="F34" s="142"/>
      <c r="G34" s="142"/>
      <c r="H34" s="142"/>
      <c r="I34" s="142"/>
      <c r="J34" s="142"/>
      <c r="K34" s="142"/>
      <c r="L34" s="142"/>
      <c r="M34" s="142"/>
      <c r="N34" s="142"/>
      <c r="O34" s="137">
        <f t="shared" si="5"/>
        <v>0</v>
      </c>
      <c r="P34" s="138" t="str">
        <f t="shared" si="8"/>
        <v xml:space="preserve"> </v>
      </c>
    </row>
    <row r="35" spans="1:22" s="2" customFormat="1">
      <c r="A35" s="1"/>
      <c r="B35" s="125" t="s">
        <v>44</v>
      </c>
      <c r="C35" s="187">
        <f>SUM(C23:C34)</f>
        <v>190500</v>
      </c>
      <c r="D35" s="187">
        <f t="shared" ref="D35:N35" si="10">SUM(D23:D34)</f>
        <v>127000</v>
      </c>
      <c r="E35" s="187">
        <f t="shared" si="10"/>
        <v>102000</v>
      </c>
      <c r="F35" s="187">
        <f t="shared" si="10"/>
        <v>177000</v>
      </c>
      <c r="G35" s="187">
        <f t="shared" si="10"/>
        <v>127000</v>
      </c>
      <c r="H35" s="187">
        <f t="shared" si="10"/>
        <v>127000</v>
      </c>
      <c r="I35" s="187">
        <f t="shared" si="10"/>
        <v>127000</v>
      </c>
      <c r="J35" s="187">
        <f t="shared" si="10"/>
        <v>177000</v>
      </c>
      <c r="K35" s="187">
        <f t="shared" si="10"/>
        <v>77000</v>
      </c>
      <c r="L35" s="187">
        <f t="shared" si="10"/>
        <v>46000</v>
      </c>
      <c r="M35" s="187">
        <f t="shared" si="10"/>
        <v>129000</v>
      </c>
      <c r="N35" s="187">
        <f t="shared" si="10"/>
        <v>127000</v>
      </c>
      <c r="O35" s="139">
        <f t="shared" si="5"/>
        <v>1533500</v>
      </c>
      <c r="P35" s="136">
        <f>O35/O40</f>
        <v>0.19885562381469535</v>
      </c>
    </row>
    <row r="36" spans="1:22" s="2" customFormat="1">
      <c r="A36" s="1"/>
      <c r="B36" s="125" t="s">
        <v>45</v>
      </c>
      <c r="C36" s="187"/>
      <c r="D36" s="187"/>
      <c r="E36" s="187"/>
      <c r="F36" s="187"/>
      <c r="G36" s="187"/>
      <c r="H36" s="187"/>
      <c r="I36" s="187"/>
      <c r="J36" s="187"/>
      <c r="K36" s="187"/>
      <c r="L36" s="187"/>
      <c r="M36" s="187"/>
      <c r="N36" s="187"/>
      <c r="O36" s="135">
        <f t="shared" si="5"/>
        <v>0</v>
      </c>
      <c r="P36" s="136"/>
      <c r="Q36" s="7"/>
      <c r="R36" s="3"/>
    </row>
    <row r="37" spans="1:22" s="2" customFormat="1">
      <c r="A37" s="1"/>
      <c r="B37" s="127" t="s">
        <v>46</v>
      </c>
      <c r="C37" s="145">
        <f t="shared" ref="C37:N37" si="11">(C22+C35)*C16</f>
        <v>293300</v>
      </c>
      <c r="D37" s="145">
        <f t="shared" si="11"/>
        <v>97750</v>
      </c>
      <c r="E37" s="145">
        <f t="shared" si="11"/>
        <v>129500</v>
      </c>
      <c r="F37" s="145">
        <f t="shared" si="11"/>
        <v>87750</v>
      </c>
      <c r="G37" s="145">
        <f t="shared" si="11"/>
        <v>120437.5</v>
      </c>
      <c r="H37" s="145">
        <f t="shared" si="11"/>
        <v>129400</v>
      </c>
      <c r="I37" s="145">
        <f t="shared" si="11"/>
        <v>140312.5</v>
      </c>
      <c r="J37" s="145">
        <f t="shared" si="11"/>
        <v>159750</v>
      </c>
      <c r="K37" s="145">
        <f t="shared" si="11"/>
        <v>143250</v>
      </c>
      <c r="L37" s="145">
        <f t="shared" si="11"/>
        <v>52000</v>
      </c>
      <c r="M37" s="145">
        <f t="shared" si="11"/>
        <v>127125</v>
      </c>
      <c r="N37" s="145">
        <f t="shared" si="11"/>
        <v>61750</v>
      </c>
      <c r="O37" s="139">
        <f t="shared" si="5"/>
        <v>1542325</v>
      </c>
      <c r="P37" s="136">
        <f>O37/O40</f>
        <v>0.2</v>
      </c>
      <c r="Q37" s="7"/>
      <c r="R37" s="3"/>
    </row>
    <row r="38" spans="1:22" s="2" customFormat="1" ht="7.5" customHeight="1">
      <c r="A38" s="1"/>
      <c r="B38" s="128"/>
      <c r="C38" s="146"/>
      <c r="D38" s="146"/>
      <c r="E38" s="146"/>
      <c r="F38" s="146"/>
      <c r="G38" s="146"/>
      <c r="H38" s="146"/>
      <c r="I38" s="146"/>
      <c r="J38" s="146"/>
      <c r="K38" s="146"/>
      <c r="L38" s="147"/>
      <c r="M38" s="147"/>
      <c r="N38" s="146"/>
      <c r="O38" s="147"/>
      <c r="P38" s="147"/>
      <c r="Q38" s="4"/>
      <c r="R38" s="3"/>
    </row>
    <row r="39" spans="1:22" s="2" customFormat="1">
      <c r="A39" s="1"/>
      <c r="B39" s="162" t="s">
        <v>47</v>
      </c>
      <c r="C39" s="163">
        <f t="shared" ref="C39:N39" si="12">C22+C35+C36+C37</f>
        <v>1466500</v>
      </c>
      <c r="D39" s="163">
        <f t="shared" si="12"/>
        <v>488750</v>
      </c>
      <c r="E39" s="163">
        <f t="shared" si="12"/>
        <v>647500</v>
      </c>
      <c r="F39" s="163">
        <f t="shared" si="12"/>
        <v>438750</v>
      </c>
      <c r="G39" s="163">
        <f t="shared" si="12"/>
        <v>602187.5</v>
      </c>
      <c r="H39" s="163">
        <f t="shared" si="12"/>
        <v>647000</v>
      </c>
      <c r="I39" s="163">
        <f t="shared" si="12"/>
        <v>701562.5</v>
      </c>
      <c r="J39" s="163">
        <f t="shared" si="12"/>
        <v>798750</v>
      </c>
      <c r="K39" s="163">
        <f t="shared" si="12"/>
        <v>716250</v>
      </c>
      <c r="L39" s="163">
        <f t="shared" si="12"/>
        <v>260000</v>
      </c>
      <c r="M39" s="163">
        <f t="shared" si="12"/>
        <v>635625</v>
      </c>
      <c r="N39" s="163">
        <f t="shared" si="12"/>
        <v>308750</v>
      </c>
      <c r="O39" s="164">
        <f>SUM(C39:N39)</f>
        <v>7711625</v>
      </c>
      <c r="Q39" s="225" t="s">
        <v>48</v>
      </c>
      <c r="R39" s="226"/>
    </row>
    <row r="40" spans="1:22" s="2" customFormat="1">
      <c r="A40" s="1"/>
      <c r="B40" s="161" t="s">
        <v>49</v>
      </c>
      <c r="C40" s="163">
        <f>C39*C17</f>
        <v>1466500</v>
      </c>
      <c r="D40" s="163">
        <f t="shared" ref="D40:N40" si="13">D39*D17</f>
        <v>488750</v>
      </c>
      <c r="E40" s="163">
        <f t="shared" si="13"/>
        <v>647500</v>
      </c>
      <c r="F40" s="163">
        <f t="shared" si="13"/>
        <v>438750</v>
      </c>
      <c r="G40" s="163">
        <f t="shared" si="13"/>
        <v>602187.5</v>
      </c>
      <c r="H40" s="163">
        <f t="shared" si="13"/>
        <v>647000</v>
      </c>
      <c r="I40" s="163">
        <f t="shared" si="13"/>
        <v>701562.5</v>
      </c>
      <c r="J40" s="163">
        <f t="shared" si="13"/>
        <v>798750</v>
      </c>
      <c r="K40" s="163">
        <f t="shared" si="13"/>
        <v>716250</v>
      </c>
      <c r="L40" s="163">
        <f t="shared" si="13"/>
        <v>260000</v>
      </c>
      <c r="M40" s="163">
        <f t="shared" si="13"/>
        <v>635625</v>
      </c>
      <c r="N40" s="163">
        <f t="shared" si="13"/>
        <v>308750</v>
      </c>
      <c r="O40" s="165">
        <f>SUM(C40:N40)</f>
        <v>7711625</v>
      </c>
      <c r="Q40" s="227">
        <f>8000000-O40</f>
        <v>288375</v>
      </c>
      <c r="R40" s="228"/>
    </row>
    <row r="41" spans="1:22" s="2" customFormat="1" ht="19" customHeight="1">
      <c r="A41" s="1"/>
      <c r="C41" s="4"/>
      <c r="D41" s="4"/>
      <c r="E41" s="4"/>
      <c r="F41" s="4"/>
      <c r="G41" s="4"/>
      <c r="H41" s="4"/>
      <c r="I41" s="4"/>
      <c r="J41" s="4"/>
      <c r="K41" s="4"/>
      <c r="L41" s="4"/>
      <c r="M41" s="154"/>
      <c r="N41" s="4"/>
      <c r="O41" s="4"/>
      <c r="P41" s="4"/>
      <c r="Q41" s="4"/>
      <c r="R41" s="3"/>
      <c r="U41" s="3"/>
    </row>
    <row r="42" spans="1:22" s="2" customFormat="1" ht="16">
      <c r="A42" s="1"/>
      <c r="B42" s="8" t="s">
        <v>13</v>
      </c>
      <c r="C42" s="153">
        <f>C40/$O$40</f>
        <v>0.19016744201124924</v>
      </c>
      <c r="D42" s="153">
        <f t="shared" ref="D42:N42" si="14">D40/$O$40</f>
        <v>6.3378341140810146E-2</v>
      </c>
      <c r="E42" s="153">
        <f t="shared" si="14"/>
        <v>8.396414504076638E-2</v>
      </c>
      <c r="F42" s="153">
        <f t="shared" si="14"/>
        <v>5.6894623377044394E-2</v>
      </c>
      <c r="G42" s="153">
        <f t="shared" si="14"/>
        <v>7.808827581735367E-2</v>
      </c>
      <c r="H42" s="153">
        <f t="shared" si="14"/>
        <v>8.3899307863128714E-2</v>
      </c>
      <c r="I42" s="153">
        <f t="shared" si="14"/>
        <v>9.097466487283809E-2</v>
      </c>
      <c r="J42" s="153">
        <f t="shared" si="14"/>
        <v>0.10357739127615775</v>
      </c>
      <c r="K42" s="153">
        <f t="shared" si="14"/>
        <v>9.2879256965944276E-2</v>
      </c>
      <c r="L42" s="153">
        <f t="shared" si="14"/>
        <v>3.3715332371581863E-2</v>
      </c>
      <c r="M42" s="153">
        <f t="shared" si="14"/>
        <v>8.2424262071872006E-2</v>
      </c>
      <c r="N42" s="153">
        <f t="shared" si="14"/>
        <v>4.0036957191253462E-2</v>
      </c>
    </row>
    <row r="43" spans="1:22" s="2" customFormat="1" ht="15" customHeight="1">
      <c r="A43" s="1"/>
      <c r="B43" s="129" t="s">
        <v>50</v>
      </c>
      <c r="C43" s="152" t="str">
        <f>IF(C40&gt;430000,"YES","")</f>
        <v>YES</v>
      </c>
      <c r="D43" s="152" t="str">
        <f t="shared" ref="D43:N43" si="15">IF(D40&gt;430000,"YES","")</f>
        <v>YES</v>
      </c>
      <c r="E43" s="152" t="str">
        <f t="shared" si="15"/>
        <v>YES</v>
      </c>
      <c r="F43" s="152" t="str">
        <f t="shared" si="15"/>
        <v>YES</v>
      </c>
      <c r="G43" s="152" t="str">
        <f t="shared" si="15"/>
        <v>YES</v>
      </c>
      <c r="H43" s="152" t="str">
        <f t="shared" si="15"/>
        <v>YES</v>
      </c>
      <c r="I43" s="152" t="str">
        <f t="shared" si="15"/>
        <v>YES</v>
      </c>
      <c r="J43" s="152" t="str">
        <f t="shared" si="15"/>
        <v>YES</v>
      </c>
      <c r="K43" s="152" t="str">
        <f t="shared" si="15"/>
        <v>YES</v>
      </c>
      <c r="L43" s="152" t="str">
        <f t="shared" si="15"/>
        <v/>
      </c>
      <c r="M43" s="152" t="str">
        <f t="shared" si="15"/>
        <v>YES</v>
      </c>
      <c r="N43" s="152" t="str">
        <f t="shared" si="15"/>
        <v/>
      </c>
      <c r="R43" s="3"/>
      <c r="U43" s="3"/>
    </row>
    <row r="44" spans="1:22" s="2" customFormat="1" ht="15.75" customHeight="1">
      <c r="A44" s="1"/>
      <c r="B44" s="161" t="s">
        <v>51</v>
      </c>
      <c r="C44" s="167">
        <f t="shared" ref="C44:L44" si="16">C21/60</f>
        <v>2.6416666666666666</v>
      </c>
      <c r="D44" s="167">
        <f t="shared" si="16"/>
        <v>0.8</v>
      </c>
      <c r="E44" s="167">
        <f t="shared" si="16"/>
        <v>0.8666666666666667</v>
      </c>
      <c r="F44" s="167">
        <f t="shared" si="16"/>
        <v>0.48333333333333334</v>
      </c>
      <c r="G44" s="167">
        <f t="shared" si="16"/>
        <v>1.075</v>
      </c>
      <c r="H44" s="167">
        <f t="shared" si="16"/>
        <v>1.05</v>
      </c>
      <c r="I44" s="167">
        <f t="shared" si="16"/>
        <v>1.6083333333333334</v>
      </c>
      <c r="J44" s="167">
        <f t="shared" si="16"/>
        <v>1.4</v>
      </c>
      <c r="K44" s="167">
        <f t="shared" si="16"/>
        <v>1.0333333333333334</v>
      </c>
      <c r="L44" s="167">
        <f t="shared" si="16"/>
        <v>0.45</v>
      </c>
      <c r="M44" s="167">
        <f>M21/60</f>
        <v>1.1499999999999999</v>
      </c>
      <c r="N44" s="167">
        <f>N21/60</f>
        <v>0.25</v>
      </c>
      <c r="O44" s="166">
        <f>SUM(C44:N44)</f>
        <v>12.808333333333334</v>
      </c>
      <c r="Q44" s="9"/>
      <c r="R44" s="3"/>
      <c r="U44" s="3"/>
    </row>
    <row r="45" spans="1:22" s="2" customFormat="1">
      <c r="A45" s="1"/>
      <c r="T45" s="3"/>
      <c r="U45" s="3"/>
    </row>
    <row r="46" spans="1:22" s="3" customFormat="1">
      <c r="A46" s="1"/>
      <c r="B46" s="148" t="s">
        <v>52</v>
      </c>
      <c r="C46" s="149">
        <f>C35/C22</f>
        <v>0.19385366846443472</v>
      </c>
      <c r="D46" s="149">
        <f t="shared" ref="D46:M46" si="17">D35/D22</f>
        <v>0.48106060606060608</v>
      </c>
      <c r="E46" s="149">
        <f t="shared" si="17"/>
        <v>0.24519230769230768</v>
      </c>
      <c r="F46" s="149">
        <f t="shared" si="17"/>
        <v>1.0172413793103448</v>
      </c>
      <c r="G46" s="149">
        <f t="shared" si="17"/>
        <v>0.35799859055673011</v>
      </c>
      <c r="H46" s="149">
        <f t="shared" si="17"/>
        <v>0.32514080901177678</v>
      </c>
      <c r="I46" s="149">
        <f t="shared" si="17"/>
        <v>0.2924582613701785</v>
      </c>
      <c r="J46" s="149">
        <f t="shared" si="17"/>
        <v>0.38311688311688313</v>
      </c>
      <c r="K46" s="149">
        <f t="shared" si="17"/>
        <v>0.15524193548387097</v>
      </c>
      <c r="L46" s="149">
        <f t="shared" si="17"/>
        <v>0.2839506172839506</v>
      </c>
      <c r="M46" s="149">
        <f t="shared" si="17"/>
        <v>0.33992094861660077</v>
      </c>
      <c r="N46" s="149">
        <f>N35/N22</f>
        <v>1.0583333333333333</v>
      </c>
      <c r="O46" s="149"/>
      <c r="P46" s="149"/>
      <c r="R46" s="2"/>
      <c r="V46" s="2"/>
    </row>
  </sheetData>
  <mergeCells count="2">
    <mergeCell ref="Q39:R39"/>
    <mergeCell ref="Q40:R40"/>
  </mergeCells>
  <phoneticPr fontId="39" type="noConversion"/>
  <conditionalFormatting sqref="C43:N43">
    <cfRule type="containsText" dxfId="1" priority="2" operator="containsText" text="YES">
      <formula>NOT(ISERROR(SEARCH("YES",C43)))</formula>
    </cfRule>
  </conditionalFormatting>
  <conditionalFormatting sqref="C46:P46">
    <cfRule type="cellIs" dxfId="0" priority="1" operator="greaterThan">
      <formula>0.15</formula>
    </cfRule>
  </conditionalFormatting>
  <dataValidations disablePrompts="1" count="2">
    <dataValidation type="list" allowBlank="1" showInputMessage="1" showErrorMessage="1" sqref="C18:L18" xr:uid="{D9301D85-486E-1E44-ABB3-5B5F263292E6}">
      <formula1>$C$111:$C$112</formula1>
    </dataValidation>
    <dataValidation type="list" allowBlank="1" showInputMessage="1" showErrorMessage="1" sqref="T18 M18:N18" xr:uid="{BA612115-A74E-6D4A-B815-13C3FD3F3489}">
      <formula1>#REF!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839D3-9FE1-DF43-8C21-054AF0368448}">
  <dimension ref="A1:AE55"/>
  <sheetViews>
    <sheetView showGridLines="0" zoomScale="63" zoomScaleNormal="62" workbookViewId="0">
      <selection activeCell="AI48" sqref="AI48"/>
    </sheetView>
  </sheetViews>
  <sheetFormatPr baseColWidth="10" defaultColWidth="11.5" defaultRowHeight="21"/>
  <cols>
    <col min="1" max="1" width="121.6640625" style="202" customWidth="1"/>
    <col min="2" max="5" width="6.83203125" style="200" customWidth="1"/>
    <col min="6" max="31" width="6.5" style="200" bestFit="1" customWidth="1"/>
  </cols>
  <sheetData>
    <row r="1" spans="1:31" s="197" customFormat="1">
      <c r="A1" s="198"/>
      <c r="B1" s="197" t="s">
        <v>53</v>
      </c>
      <c r="C1" s="197" t="s">
        <v>54</v>
      </c>
      <c r="D1" s="197" t="s">
        <v>55</v>
      </c>
      <c r="E1" s="197" t="s">
        <v>56</v>
      </c>
      <c r="F1" s="197" t="s">
        <v>57</v>
      </c>
      <c r="G1" s="197" t="s">
        <v>58</v>
      </c>
      <c r="H1" s="197" t="s">
        <v>59</v>
      </c>
      <c r="I1" s="197" t="s">
        <v>60</v>
      </c>
      <c r="J1" s="197" t="s">
        <v>61</v>
      </c>
      <c r="K1" s="197" t="s">
        <v>62</v>
      </c>
      <c r="L1" s="197" t="s">
        <v>63</v>
      </c>
      <c r="M1" s="197" t="s">
        <v>64</v>
      </c>
      <c r="N1" s="197" t="s">
        <v>65</v>
      </c>
      <c r="O1" s="197" t="s">
        <v>66</v>
      </c>
      <c r="P1" s="197" t="s">
        <v>67</v>
      </c>
      <c r="Q1" s="197" t="s">
        <v>68</v>
      </c>
      <c r="R1" s="197" t="s">
        <v>69</v>
      </c>
      <c r="S1" s="197" t="s">
        <v>70</v>
      </c>
      <c r="T1" s="197" t="s">
        <v>71</v>
      </c>
      <c r="U1" s="197" t="s">
        <v>72</v>
      </c>
      <c r="V1" s="197" t="s">
        <v>73</v>
      </c>
      <c r="W1" s="197" t="s">
        <v>74</v>
      </c>
      <c r="X1" s="197" t="s">
        <v>75</v>
      </c>
      <c r="Y1" s="197" t="s">
        <v>76</v>
      </c>
      <c r="Z1" s="197" t="s">
        <v>77</v>
      </c>
      <c r="AA1" s="197" t="s">
        <v>78</v>
      </c>
      <c r="AB1" s="197" t="s">
        <v>79</v>
      </c>
      <c r="AC1" s="197" t="s">
        <v>80</v>
      </c>
      <c r="AD1" s="197" t="s">
        <v>81</v>
      </c>
      <c r="AE1" s="197" t="s">
        <v>82</v>
      </c>
    </row>
    <row r="2" spans="1:31">
      <c r="A2" s="198" t="s">
        <v>83</v>
      </c>
      <c r="B2" s="199"/>
      <c r="C2" s="199"/>
      <c r="D2" s="199"/>
      <c r="E2" s="199"/>
      <c r="F2" s="199"/>
      <c r="G2" s="199"/>
      <c r="H2" s="203"/>
      <c r="I2" s="204"/>
      <c r="J2" s="204"/>
      <c r="K2" s="204"/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4"/>
      <c r="W2" s="204"/>
      <c r="X2" s="204"/>
      <c r="Y2" s="204"/>
      <c r="Z2" s="204"/>
      <c r="AA2" s="204"/>
      <c r="AB2" s="204"/>
      <c r="AC2" s="204"/>
      <c r="AD2" s="204"/>
      <c r="AE2" s="205"/>
    </row>
    <row r="3" spans="1:31">
      <c r="A3" s="201" t="s">
        <v>84</v>
      </c>
      <c r="B3" s="211"/>
      <c r="C3" s="214"/>
      <c r="D3" s="208"/>
      <c r="E3" s="204"/>
      <c r="F3" s="204"/>
      <c r="G3" s="204"/>
      <c r="H3" s="204"/>
      <c r="I3" s="204"/>
      <c r="J3" s="204"/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4"/>
      <c r="W3" s="204"/>
      <c r="X3" s="204"/>
      <c r="Y3" s="204"/>
      <c r="Z3" s="204"/>
      <c r="AA3" s="204"/>
      <c r="AB3" s="204"/>
      <c r="AC3" s="204"/>
      <c r="AD3" s="204"/>
      <c r="AE3" s="205"/>
    </row>
    <row r="4" spans="1:31">
      <c r="A4" s="201" t="s">
        <v>85</v>
      </c>
      <c r="B4" s="213"/>
      <c r="C4" s="211"/>
      <c r="D4" s="215" t="s">
        <v>86</v>
      </c>
      <c r="E4" s="203"/>
      <c r="F4" s="204"/>
      <c r="G4" s="204"/>
      <c r="H4" s="204"/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  <c r="X4" s="204"/>
      <c r="Y4" s="204"/>
      <c r="Z4" s="204"/>
      <c r="AA4" s="204"/>
      <c r="AB4" s="204"/>
      <c r="AC4" s="204"/>
      <c r="AD4" s="204"/>
      <c r="AE4" s="205"/>
    </row>
    <row r="5" spans="1:31">
      <c r="A5" s="201" t="s">
        <v>87</v>
      </c>
      <c r="B5" s="204"/>
      <c r="C5" s="210"/>
      <c r="D5" s="211"/>
      <c r="E5" s="216" t="s">
        <v>86</v>
      </c>
      <c r="F5" s="208"/>
      <c r="G5" s="209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4"/>
      <c r="X5" s="204"/>
      <c r="Y5" s="204"/>
      <c r="Z5" s="204"/>
      <c r="AA5" s="204"/>
      <c r="AB5" s="204"/>
      <c r="AC5" s="204"/>
      <c r="AD5" s="204"/>
      <c r="AE5" s="205"/>
    </row>
    <row r="6" spans="1:31">
      <c r="A6" s="201" t="s">
        <v>88</v>
      </c>
      <c r="B6" s="204"/>
      <c r="C6" s="204"/>
      <c r="D6" s="206"/>
      <c r="E6" s="211"/>
      <c r="F6" s="217"/>
      <c r="G6" s="215" t="s">
        <v>86</v>
      </c>
      <c r="H6" s="203"/>
      <c r="I6" s="204"/>
      <c r="J6" s="204"/>
      <c r="K6" s="204"/>
      <c r="L6" s="204"/>
      <c r="M6" s="204"/>
      <c r="N6" s="204"/>
      <c r="O6" s="204"/>
      <c r="P6" s="204"/>
      <c r="Q6" s="204"/>
      <c r="R6" s="204"/>
      <c r="S6" s="204"/>
      <c r="T6" s="204"/>
      <c r="U6" s="204"/>
      <c r="V6" s="204"/>
      <c r="W6" s="204"/>
      <c r="X6" s="204"/>
      <c r="Y6" s="204"/>
      <c r="Z6" s="204"/>
      <c r="AA6" s="204"/>
      <c r="AB6" s="204"/>
      <c r="AC6" s="204"/>
      <c r="AD6" s="204"/>
      <c r="AE6" s="205"/>
    </row>
    <row r="7" spans="1:31">
      <c r="A7" s="198" t="s">
        <v>89</v>
      </c>
      <c r="B7" s="199"/>
      <c r="C7" s="199"/>
      <c r="D7" s="199"/>
      <c r="E7" s="199"/>
      <c r="F7" s="199"/>
      <c r="G7" s="199"/>
      <c r="H7" s="199"/>
      <c r="I7" s="199"/>
      <c r="J7" s="199"/>
      <c r="K7" s="199"/>
      <c r="L7" s="199"/>
      <c r="M7" s="199"/>
      <c r="N7" s="199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</row>
    <row r="8" spans="1:31">
      <c r="A8" s="201" t="s">
        <v>90</v>
      </c>
      <c r="B8" s="211"/>
      <c r="C8" s="217"/>
      <c r="D8" s="218" t="s">
        <v>86</v>
      </c>
      <c r="E8" s="217"/>
      <c r="F8" s="217"/>
      <c r="G8" s="217"/>
      <c r="H8" s="217"/>
      <c r="I8" s="217"/>
      <c r="J8" s="217"/>
      <c r="K8" s="217"/>
      <c r="L8" s="217"/>
      <c r="M8" s="217"/>
      <c r="N8" s="217"/>
      <c r="O8" s="217"/>
      <c r="P8" s="217"/>
      <c r="Q8" s="217"/>
      <c r="R8" s="217"/>
      <c r="S8" s="217"/>
      <c r="T8" s="217"/>
      <c r="U8" s="217"/>
      <c r="V8" s="217"/>
      <c r="W8" s="217"/>
      <c r="X8" s="217"/>
      <c r="Y8" s="217"/>
      <c r="Z8" s="217"/>
      <c r="AA8" s="217"/>
      <c r="AB8" s="217"/>
      <c r="AC8" s="217"/>
      <c r="AD8" s="217"/>
      <c r="AE8" s="215" t="s">
        <v>86</v>
      </c>
    </row>
    <row r="9" spans="1:31">
      <c r="A9" s="201" t="s">
        <v>91</v>
      </c>
      <c r="B9" s="213"/>
      <c r="C9" s="211"/>
      <c r="D9" s="219"/>
      <c r="E9" s="219"/>
      <c r="F9" s="219"/>
      <c r="G9" s="214"/>
      <c r="H9" s="220"/>
      <c r="I9" s="221"/>
      <c r="J9" s="221"/>
      <c r="K9" s="221"/>
      <c r="L9" s="221"/>
      <c r="M9" s="221"/>
      <c r="N9" s="221"/>
      <c r="O9" s="221"/>
      <c r="P9" s="221"/>
      <c r="Q9" s="210"/>
      <c r="R9" s="210"/>
      <c r="S9" s="210"/>
      <c r="T9" s="210"/>
      <c r="U9" s="210"/>
      <c r="V9" s="210"/>
      <c r="W9" s="210"/>
      <c r="X9" s="210"/>
      <c r="Y9" s="210"/>
      <c r="Z9" s="210"/>
      <c r="AA9" s="210"/>
      <c r="AB9" s="210"/>
      <c r="AC9" s="210"/>
      <c r="AD9" s="210"/>
      <c r="AE9" s="213"/>
    </row>
    <row r="10" spans="1:31">
      <c r="A10" s="201" t="s">
        <v>92</v>
      </c>
      <c r="B10" s="204"/>
      <c r="C10" s="213"/>
      <c r="D10" s="211"/>
      <c r="E10" s="217"/>
      <c r="F10" s="219"/>
      <c r="G10" s="219"/>
      <c r="H10" s="219"/>
      <c r="I10" s="219"/>
      <c r="J10" s="219"/>
      <c r="K10" s="219"/>
      <c r="L10" s="219"/>
      <c r="M10" s="219"/>
      <c r="N10" s="219"/>
      <c r="O10" s="219"/>
      <c r="P10" s="216" t="s">
        <v>86</v>
      </c>
      <c r="Q10" s="208"/>
      <c r="R10" s="209"/>
      <c r="S10" s="209"/>
      <c r="T10" s="209"/>
      <c r="U10" s="209"/>
      <c r="V10" s="209"/>
      <c r="W10" s="209"/>
      <c r="X10" s="209"/>
      <c r="Y10" s="209"/>
      <c r="Z10" s="209"/>
      <c r="AA10" s="209"/>
      <c r="AB10" s="209"/>
      <c r="AC10" s="209"/>
      <c r="AD10" s="209"/>
      <c r="AE10" s="222"/>
    </row>
    <row r="11" spans="1:31">
      <c r="A11" s="201" t="s">
        <v>93</v>
      </c>
      <c r="B11" s="204"/>
      <c r="C11" s="204"/>
      <c r="D11" s="207"/>
      <c r="E11" s="213"/>
      <c r="F11" s="211"/>
      <c r="G11" s="217"/>
      <c r="H11" s="217"/>
      <c r="I11" s="217"/>
      <c r="J11" s="217"/>
      <c r="K11" s="217"/>
      <c r="L11" s="217"/>
      <c r="M11" s="217"/>
      <c r="N11" s="217"/>
      <c r="O11" s="217"/>
      <c r="P11" s="217"/>
      <c r="Q11" s="217"/>
      <c r="R11" s="217"/>
      <c r="S11" s="217"/>
      <c r="T11" s="217"/>
      <c r="U11" s="217"/>
      <c r="V11" s="217"/>
      <c r="W11" s="217"/>
      <c r="X11" s="217"/>
      <c r="Y11" s="217"/>
      <c r="Z11" s="217"/>
      <c r="AA11" s="217"/>
      <c r="AB11" s="217"/>
      <c r="AC11" s="217"/>
      <c r="AD11" s="217"/>
      <c r="AE11" s="212"/>
    </row>
    <row r="12" spans="1:31">
      <c r="A12" s="198" t="s">
        <v>94</v>
      </c>
      <c r="B12" s="204"/>
      <c r="C12" s="204"/>
      <c r="D12" s="203"/>
      <c r="E12" s="204"/>
      <c r="F12" s="207"/>
      <c r="G12" s="210"/>
      <c r="H12" s="199"/>
      <c r="I12" s="199"/>
      <c r="J12" s="199"/>
      <c r="K12" s="199"/>
      <c r="L12" s="199"/>
      <c r="M12" s="199"/>
      <c r="N12" s="199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207"/>
      <c r="AA12" s="210"/>
      <c r="AB12" s="210"/>
      <c r="AC12" s="210"/>
      <c r="AD12" s="210"/>
      <c r="AE12" s="213"/>
    </row>
    <row r="13" spans="1:31">
      <c r="A13" s="201" t="s">
        <v>95</v>
      </c>
      <c r="B13" s="204"/>
      <c r="C13" s="204"/>
      <c r="D13" s="203"/>
      <c r="E13" s="204"/>
      <c r="F13" s="203"/>
      <c r="G13" s="205"/>
      <c r="H13" s="211"/>
      <c r="I13" s="219"/>
      <c r="J13" s="216" t="s">
        <v>86</v>
      </c>
      <c r="K13" s="208"/>
      <c r="L13" s="209"/>
      <c r="M13" s="209"/>
      <c r="N13" s="209"/>
      <c r="O13" s="209"/>
      <c r="P13" s="209"/>
      <c r="Q13" s="204"/>
      <c r="R13" s="204"/>
      <c r="S13" s="204"/>
      <c r="T13" s="204"/>
      <c r="U13" s="204"/>
      <c r="V13" s="204"/>
      <c r="W13" s="204"/>
      <c r="X13" s="204"/>
      <c r="Y13" s="205"/>
      <c r="Z13" s="204"/>
      <c r="AA13" s="204"/>
      <c r="AB13" s="204"/>
      <c r="AC13" s="204"/>
      <c r="AD13" s="204"/>
      <c r="AE13" s="205"/>
    </row>
    <row r="14" spans="1:31">
      <c r="A14" s="201" t="s">
        <v>96</v>
      </c>
      <c r="B14" s="204"/>
      <c r="C14" s="204"/>
      <c r="D14" s="203"/>
      <c r="E14" s="204"/>
      <c r="F14" s="203"/>
      <c r="G14" s="204"/>
      <c r="H14" s="213"/>
      <c r="I14" s="211"/>
      <c r="J14" s="219"/>
      <c r="K14" s="219"/>
      <c r="L14" s="219"/>
      <c r="M14" s="219"/>
      <c r="N14" s="219"/>
      <c r="O14" s="219"/>
      <c r="P14" s="214"/>
      <c r="Q14" s="208"/>
      <c r="R14" s="209"/>
      <c r="S14" s="209"/>
      <c r="T14" s="204"/>
      <c r="U14" s="204"/>
      <c r="V14" s="204"/>
      <c r="W14" s="204"/>
      <c r="X14" s="204"/>
      <c r="Y14" s="205"/>
      <c r="Z14" s="204"/>
      <c r="AA14" s="204"/>
      <c r="AB14" s="204"/>
      <c r="AC14" s="204"/>
      <c r="AD14" s="204"/>
      <c r="AE14" s="205"/>
    </row>
    <row r="15" spans="1:31">
      <c r="A15" s="201" t="s">
        <v>97</v>
      </c>
      <c r="B15" s="204"/>
      <c r="C15" s="204"/>
      <c r="D15" s="203"/>
      <c r="E15" s="204"/>
      <c r="F15" s="203"/>
      <c r="G15" s="204"/>
      <c r="H15" s="204"/>
      <c r="I15" s="223"/>
      <c r="J15" s="211"/>
      <c r="K15" s="217"/>
      <c r="L15" s="217"/>
      <c r="M15" s="217"/>
      <c r="N15" s="217"/>
      <c r="O15" s="217"/>
      <c r="P15" s="217"/>
      <c r="Q15" s="217"/>
      <c r="R15" s="217"/>
      <c r="S15" s="215" t="s">
        <v>86</v>
      </c>
      <c r="T15" s="203"/>
      <c r="U15" s="204"/>
      <c r="V15" s="204"/>
      <c r="W15" s="204"/>
      <c r="X15" s="204"/>
      <c r="Y15" s="205"/>
      <c r="Z15" s="204"/>
      <c r="AA15" s="204"/>
      <c r="AB15" s="204"/>
      <c r="AC15" s="204"/>
      <c r="AD15" s="204"/>
      <c r="AE15" s="205"/>
    </row>
    <row r="16" spans="1:31">
      <c r="A16" s="201" t="s">
        <v>98</v>
      </c>
      <c r="B16" s="204"/>
      <c r="C16" s="204"/>
      <c r="D16" s="203"/>
      <c r="E16" s="204"/>
      <c r="F16" s="203"/>
      <c r="G16" s="204"/>
      <c r="H16" s="204"/>
      <c r="I16" s="206"/>
      <c r="J16" s="211"/>
      <c r="K16" s="217"/>
      <c r="L16" s="219"/>
      <c r="M16" s="219"/>
      <c r="N16" s="219"/>
      <c r="O16" s="219"/>
      <c r="P16" s="219"/>
      <c r="Q16" s="219"/>
      <c r="R16" s="219"/>
      <c r="S16" s="214"/>
      <c r="T16" s="208"/>
      <c r="U16" s="209"/>
      <c r="V16" s="209"/>
      <c r="W16" s="209"/>
      <c r="X16" s="209"/>
      <c r="Y16" s="222"/>
      <c r="Z16" s="204"/>
      <c r="AA16" s="204"/>
      <c r="AB16" s="204"/>
      <c r="AC16" s="204"/>
      <c r="AD16" s="204"/>
      <c r="AE16" s="205"/>
    </row>
    <row r="17" spans="1:31">
      <c r="A17" s="201" t="s">
        <v>99</v>
      </c>
      <c r="B17" s="204"/>
      <c r="C17" s="204"/>
      <c r="D17" s="203"/>
      <c r="E17" s="204"/>
      <c r="F17" s="203"/>
      <c r="G17" s="204"/>
      <c r="H17" s="204"/>
      <c r="I17" s="204"/>
      <c r="J17" s="207"/>
      <c r="K17" s="213"/>
      <c r="L17" s="211"/>
      <c r="M17" s="217"/>
      <c r="N17" s="217"/>
      <c r="O17" s="217"/>
      <c r="P17" s="217"/>
      <c r="Q17" s="217"/>
      <c r="R17" s="217"/>
      <c r="S17" s="217"/>
      <c r="T17" s="217"/>
      <c r="U17" s="217"/>
      <c r="V17" s="217"/>
      <c r="W17" s="217"/>
      <c r="X17" s="217"/>
      <c r="Y17" s="215" t="s">
        <v>86</v>
      </c>
      <c r="Z17" s="203"/>
      <c r="AA17" s="204"/>
      <c r="AB17" s="204"/>
      <c r="AC17" s="204"/>
      <c r="AD17" s="204"/>
      <c r="AE17" s="205"/>
    </row>
    <row r="18" spans="1:31">
      <c r="A18" s="198" t="s">
        <v>100</v>
      </c>
      <c r="B18" s="204"/>
      <c r="C18" s="204"/>
      <c r="D18" s="203"/>
      <c r="E18" s="204"/>
      <c r="F18" s="203"/>
      <c r="G18" s="204"/>
      <c r="H18" s="199"/>
      <c r="I18" s="199"/>
      <c r="J18" s="199"/>
      <c r="K18" s="199"/>
      <c r="L18" s="199"/>
      <c r="M18" s="199"/>
      <c r="N18" s="199"/>
      <c r="O18" s="199"/>
      <c r="P18" s="199"/>
      <c r="Q18" s="199"/>
      <c r="R18" s="199"/>
      <c r="S18" s="199"/>
      <c r="T18" s="199"/>
      <c r="U18" s="199"/>
      <c r="V18" s="199"/>
      <c r="W18" s="199"/>
      <c r="X18" s="199"/>
      <c r="Y18" s="199"/>
      <c r="Z18" s="204"/>
      <c r="AA18" s="204"/>
      <c r="AB18" s="204"/>
      <c r="AC18" s="204"/>
      <c r="AD18" s="204"/>
      <c r="AE18" s="205"/>
    </row>
    <row r="19" spans="1:31">
      <c r="A19" s="201" t="s">
        <v>101</v>
      </c>
      <c r="B19" s="204"/>
      <c r="C19" s="204"/>
      <c r="D19" s="203"/>
      <c r="E19" s="204"/>
      <c r="F19" s="203"/>
      <c r="G19" s="205"/>
      <c r="H19" s="211"/>
      <c r="I19" s="217"/>
      <c r="J19" s="215" t="s">
        <v>86</v>
      </c>
      <c r="K19" s="208"/>
      <c r="L19" s="209"/>
      <c r="M19" s="209"/>
      <c r="N19" s="209"/>
      <c r="O19" s="209"/>
      <c r="P19" s="209"/>
      <c r="Q19" s="204"/>
      <c r="R19" s="204"/>
      <c r="S19" s="204"/>
      <c r="T19" s="204"/>
      <c r="U19" s="204"/>
      <c r="V19" s="204"/>
      <c r="W19" s="204"/>
      <c r="X19" s="204"/>
      <c r="Y19" s="205"/>
      <c r="Z19" s="204"/>
      <c r="AA19" s="204"/>
      <c r="AB19" s="204"/>
      <c r="AC19" s="204"/>
      <c r="AD19" s="204"/>
      <c r="AE19" s="205"/>
    </row>
    <row r="20" spans="1:31">
      <c r="A20" s="201" t="s">
        <v>102</v>
      </c>
      <c r="B20" s="204"/>
      <c r="C20" s="204"/>
      <c r="D20" s="203"/>
      <c r="E20" s="204"/>
      <c r="F20" s="203"/>
      <c r="G20" s="204"/>
      <c r="H20" s="207"/>
      <c r="I20" s="210"/>
      <c r="J20" s="213"/>
      <c r="K20" s="211"/>
      <c r="L20" s="217"/>
      <c r="M20" s="217"/>
      <c r="N20" s="219"/>
      <c r="O20" s="219"/>
      <c r="P20" s="214"/>
      <c r="Q20" s="208"/>
      <c r="R20" s="209"/>
      <c r="S20" s="209"/>
      <c r="T20" s="204"/>
      <c r="U20" s="204"/>
      <c r="V20" s="204"/>
      <c r="W20" s="204"/>
      <c r="X20" s="204"/>
      <c r="Y20" s="205"/>
      <c r="Z20" s="204"/>
      <c r="AA20" s="204"/>
      <c r="AB20" s="204"/>
      <c r="AC20" s="204"/>
      <c r="AD20" s="204"/>
      <c r="AE20" s="205"/>
    </row>
    <row r="21" spans="1:31">
      <c r="A21" s="201" t="s">
        <v>103</v>
      </c>
      <c r="B21" s="204"/>
      <c r="C21" s="204"/>
      <c r="D21" s="203"/>
      <c r="E21" s="204"/>
      <c r="F21" s="203"/>
      <c r="G21" s="204"/>
      <c r="H21" s="203"/>
      <c r="I21" s="204"/>
      <c r="J21" s="204"/>
      <c r="K21" s="207"/>
      <c r="L21" s="210"/>
      <c r="M21" s="213"/>
      <c r="N21" s="211"/>
      <c r="O21" s="217"/>
      <c r="P21" s="219"/>
      <c r="Q21" s="219"/>
      <c r="R21" s="219"/>
      <c r="S21" s="216" t="s">
        <v>86</v>
      </c>
      <c r="T21" s="208"/>
      <c r="U21" s="209"/>
      <c r="V21" s="209"/>
      <c r="W21" s="204"/>
      <c r="X21" s="204"/>
      <c r="Y21" s="205"/>
      <c r="Z21" s="204"/>
      <c r="AA21" s="204"/>
      <c r="AB21" s="204"/>
      <c r="AC21" s="204"/>
      <c r="AD21" s="204"/>
      <c r="AE21" s="205"/>
    </row>
    <row r="22" spans="1:31">
      <c r="A22" s="201" t="s">
        <v>104</v>
      </c>
      <c r="B22" s="204"/>
      <c r="C22" s="204"/>
      <c r="D22" s="203"/>
      <c r="E22" s="204"/>
      <c r="F22" s="203"/>
      <c r="G22" s="204"/>
      <c r="H22" s="203"/>
      <c r="I22" s="204"/>
      <c r="J22" s="204"/>
      <c r="K22" s="203"/>
      <c r="L22" s="204"/>
      <c r="M22" s="205"/>
      <c r="N22" s="207"/>
      <c r="O22" s="213"/>
      <c r="P22" s="211"/>
      <c r="Q22" s="217"/>
      <c r="R22" s="217"/>
      <c r="S22" s="217"/>
      <c r="T22" s="217"/>
      <c r="U22" s="217"/>
      <c r="V22" s="214"/>
      <c r="W22" s="208"/>
      <c r="X22" s="209"/>
      <c r="Y22" s="209"/>
      <c r="Z22" s="204"/>
      <c r="AA22" s="203"/>
      <c r="AB22" s="204"/>
      <c r="AC22" s="204"/>
      <c r="AD22" s="204"/>
      <c r="AE22" s="205"/>
    </row>
    <row r="23" spans="1:31">
      <c r="A23" s="201" t="s">
        <v>105</v>
      </c>
      <c r="B23" s="204"/>
      <c r="C23" s="204"/>
      <c r="D23" s="203"/>
      <c r="E23" s="204"/>
      <c r="F23" s="203"/>
      <c r="G23" s="204"/>
      <c r="H23" s="203"/>
      <c r="I23" s="204"/>
      <c r="J23" s="204"/>
      <c r="K23" s="203"/>
      <c r="L23" s="204"/>
      <c r="M23" s="205"/>
      <c r="N23" s="203"/>
      <c r="O23" s="205"/>
      <c r="P23" s="207"/>
      <c r="Q23" s="210"/>
      <c r="R23" s="210"/>
      <c r="S23" s="210"/>
      <c r="T23" s="210"/>
      <c r="U23" s="213"/>
      <c r="V23" s="211"/>
      <c r="W23" s="217"/>
      <c r="X23" s="217"/>
      <c r="Y23" s="215" t="s">
        <v>86</v>
      </c>
      <c r="Z23" s="203"/>
      <c r="AA23" s="204"/>
      <c r="AB23" s="204"/>
      <c r="AC23" s="204"/>
      <c r="AD23" s="204"/>
      <c r="AE23" s="205"/>
    </row>
    <row r="24" spans="1:31">
      <c r="A24" s="198" t="s">
        <v>106</v>
      </c>
      <c r="B24" s="204"/>
      <c r="C24" s="204"/>
      <c r="D24" s="203"/>
      <c r="E24" s="204"/>
      <c r="F24" s="203"/>
      <c r="G24" s="204"/>
      <c r="H24" s="199"/>
      <c r="I24" s="199"/>
      <c r="J24" s="199"/>
      <c r="K24" s="199"/>
      <c r="L24" s="199"/>
      <c r="M24" s="199"/>
      <c r="N24" s="199"/>
      <c r="O24" s="199"/>
      <c r="P24" s="199"/>
      <c r="Q24" s="199"/>
      <c r="R24" s="199"/>
      <c r="S24" s="199"/>
      <c r="T24" s="199"/>
      <c r="U24" s="199"/>
      <c r="V24" s="199"/>
      <c r="W24" s="199"/>
      <c r="X24" s="199"/>
      <c r="Y24" s="199"/>
      <c r="Z24" s="204"/>
      <c r="AA24" s="204"/>
      <c r="AB24" s="204"/>
      <c r="AC24" s="204"/>
      <c r="AD24" s="204"/>
      <c r="AE24" s="205"/>
    </row>
    <row r="25" spans="1:31">
      <c r="A25" s="201" t="s">
        <v>107</v>
      </c>
      <c r="B25" s="204"/>
      <c r="C25" s="204"/>
      <c r="D25" s="203"/>
      <c r="E25" s="204"/>
      <c r="F25" s="203"/>
      <c r="G25" s="205"/>
      <c r="H25" s="211"/>
      <c r="I25" s="217"/>
      <c r="J25" s="215" t="s">
        <v>86</v>
      </c>
      <c r="K25" s="208"/>
      <c r="L25" s="209"/>
      <c r="M25" s="209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5"/>
      <c r="Z25" s="204"/>
      <c r="AA25" s="204"/>
      <c r="AB25" s="204"/>
      <c r="AC25" s="204"/>
      <c r="AD25" s="204"/>
      <c r="AE25" s="205"/>
    </row>
    <row r="26" spans="1:31">
      <c r="A26" s="201" t="s">
        <v>108</v>
      </c>
      <c r="B26" s="204"/>
      <c r="C26" s="204"/>
      <c r="D26" s="203"/>
      <c r="E26" s="204"/>
      <c r="F26" s="203"/>
      <c r="G26" s="204"/>
      <c r="H26" s="207"/>
      <c r="I26" s="210"/>
      <c r="J26" s="213"/>
      <c r="K26" s="211"/>
      <c r="L26" s="217"/>
      <c r="M26" s="215" t="s">
        <v>86</v>
      </c>
      <c r="N26" s="208"/>
      <c r="O26" s="209"/>
      <c r="P26" s="209"/>
      <c r="Q26" s="209"/>
      <c r="R26" s="209"/>
      <c r="S26" s="209"/>
      <c r="T26" s="204"/>
      <c r="U26" s="204"/>
      <c r="V26" s="204"/>
      <c r="W26" s="204"/>
      <c r="X26" s="204"/>
      <c r="Y26" s="205"/>
      <c r="Z26" s="204"/>
      <c r="AA26" s="204"/>
      <c r="AB26" s="204"/>
      <c r="AC26" s="204"/>
      <c r="AD26" s="204"/>
      <c r="AE26" s="205"/>
    </row>
    <row r="27" spans="1:31">
      <c r="A27" s="201" t="s">
        <v>109</v>
      </c>
      <c r="B27" s="204"/>
      <c r="C27" s="204"/>
      <c r="D27" s="203"/>
      <c r="E27" s="204"/>
      <c r="F27" s="203"/>
      <c r="G27" s="204"/>
      <c r="H27" s="203"/>
      <c r="I27" s="204"/>
      <c r="J27" s="204"/>
      <c r="K27" s="207"/>
      <c r="L27" s="210"/>
      <c r="M27" s="213"/>
      <c r="N27" s="211"/>
      <c r="O27" s="217"/>
      <c r="P27" s="219"/>
      <c r="Q27" s="219"/>
      <c r="R27" s="219"/>
      <c r="S27" s="216" t="s">
        <v>86</v>
      </c>
      <c r="T27" s="208"/>
      <c r="U27" s="209"/>
      <c r="V27" s="209"/>
      <c r="W27" s="204"/>
      <c r="X27" s="204"/>
      <c r="Y27" s="205"/>
      <c r="Z27" s="204"/>
      <c r="AA27" s="204"/>
      <c r="AB27" s="204"/>
      <c r="AC27" s="204"/>
      <c r="AD27" s="204"/>
      <c r="AE27" s="205"/>
    </row>
    <row r="28" spans="1:31">
      <c r="A28" s="201" t="s">
        <v>110</v>
      </c>
      <c r="B28" s="204"/>
      <c r="C28" s="204"/>
      <c r="D28" s="203"/>
      <c r="E28" s="204"/>
      <c r="F28" s="203"/>
      <c r="G28" s="204"/>
      <c r="H28" s="203"/>
      <c r="I28" s="204"/>
      <c r="J28" s="204"/>
      <c r="K28" s="203"/>
      <c r="L28" s="204"/>
      <c r="M28" s="205"/>
      <c r="N28" s="207"/>
      <c r="O28" s="213"/>
      <c r="P28" s="211"/>
      <c r="Q28" s="217"/>
      <c r="R28" s="217"/>
      <c r="S28" s="217"/>
      <c r="T28" s="217"/>
      <c r="U28" s="217"/>
      <c r="V28" s="214"/>
      <c r="W28" s="208"/>
      <c r="X28" s="209"/>
      <c r="Y28" s="222"/>
      <c r="Z28" s="204"/>
      <c r="AA28" s="204"/>
      <c r="AB28" s="204"/>
      <c r="AC28" s="204"/>
      <c r="AD28" s="204"/>
      <c r="AE28" s="205"/>
    </row>
    <row r="29" spans="1:31">
      <c r="A29" s="201" t="s">
        <v>111</v>
      </c>
      <c r="B29" s="204"/>
      <c r="C29" s="204"/>
      <c r="D29" s="203"/>
      <c r="E29" s="204"/>
      <c r="F29" s="203"/>
      <c r="G29" s="204"/>
      <c r="H29" s="203"/>
      <c r="I29" s="204"/>
      <c r="J29" s="204"/>
      <c r="K29" s="203"/>
      <c r="L29" s="204"/>
      <c r="M29" s="205"/>
      <c r="N29" s="203"/>
      <c r="O29" s="205"/>
      <c r="P29" s="207"/>
      <c r="Q29" s="210"/>
      <c r="R29" s="210"/>
      <c r="S29" s="210"/>
      <c r="T29" s="210"/>
      <c r="U29" s="213"/>
      <c r="V29" s="211"/>
      <c r="W29" s="217"/>
      <c r="X29" s="217"/>
      <c r="Y29" s="215" t="s">
        <v>86</v>
      </c>
      <c r="Z29" s="203"/>
      <c r="AA29" s="204"/>
      <c r="AB29" s="204"/>
      <c r="AC29" s="204"/>
      <c r="AD29" s="204"/>
      <c r="AE29" s="205"/>
    </row>
    <row r="30" spans="1:31">
      <c r="A30" s="198" t="s">
        <v>112</v>
      </c>
      <c r="B30" s="204"/>
      <c r="C30" s="204"/>
      <c r="D30" s="203"/>
      <c r="E30" s="204"/>
      <c r="F30" s="203"/>
      <c r="G30" s="204"/>
      <c r="H30" s="199"/>
      <c r="I30" s="199"/>
      <c r="J30" s="199"/>
      <c r="K30" s="199"/>
      <c r="L30" s="199"/>
      <c r="M30" s="199"/>
      <c r="N30" s="199"/>
      <c r="O30" s="199"/>
      <c r="P30" s="199"/>
      <c r="Q30" s="199"/>
      <c r="R30" s="199"/>
      <c r="S30" s="199"/>
      <c r="T30" s="199"/>
      <c r="U30" s="199"/>
      <c r="V30" s="199"/>
      <c r="W30" s="199"/>
      <c r="X30" s="199"/>
      <c r="Y30" s="199"/>
      <c r="Z30" s="204"/>
      <c r="AA30" s="209"/>
      <c r="AB30" s="204"/>
      <c r="AC30" s="204"/>
      <c r="AD30" s="204"/>
      <c r="AE30" s="205"/>
    </row>
    <row r="31" spans="1:31">
      <c r="A31" s="201" t="s">
        <v>113</v>
      </c>
      <c r="B31" s="204"/>
      <c r="C31" s="204"/>
      <c r="D31" s="203"/>
      <c r="E31" s="204"/>
      <c r="F31" s="203"/>
      <c r="G31" s="205"/>
      <c r="H31" s="211"/>
      <c r="I31" s="217"/>
      <c r="J31" s="215" t="s">
        <v>86</v>
      </c>
      <c r="K31" s="208"/>
      <c r="L31" s="209"/>
      <c r="M31" s="209"/>
      <c r="N31" s="204"/>
      <c r="O31" s="204"/>
      <c r="P31" s="204"/>
      <c r="Q31" s="204"/>
      <c r="R31" s="204"/>
      <c r="S31" s="204"/>
      <c r="T31" s="204"/>
      <c r="U31" s="204"/>
      <c r="V31" s="204"/>
      <c r="W31" s="204"/>
      <c r="X31" s="204"/>
      <c r="Y31" s="204"/>
      <c r="Z31" s="204"/>
      <c r="AA31" s="205"/>
      <c r="AB31" s="203"/>
      <c r="AC31" s="204"/>
      <c r="AD31" s="204"/>
      <c r="AE31" s="205"/>
    </row>
    <row r="32" spans="1:31">
      <c r="A32" s="201" t="s">
        <v>114</v>
      </c>
      <c r="B32" s="204"/>
      <c r="C32" s="204"/>
      <c r="D32" s="203"/>
      <c r="E32" s="204"/>
      <c r="F32" s="203"/>
      <c r="G32" s="204"/>
      <c r="H32" s="207"/>
      <c r="I32" s="210"/>
      <c r="J32" s="213"/>
      <c r="K32" s="211"/>
      <c r="L32" s="217"/>
      <c r="M32" s="212"/>
      <c r="N32" s="208"/>
      <c r="O32" s="209"/>
      <c r="P32" s="209"/>
      <c r="Q32" s="209"/>
      <c r="R32" s="209"/>
      <c r="S32" s="209"/>
      <c r="T32" s="204"/>
      <c r="U32" s="204"/>
      <c r="V32" s="204"/>
      <c r="W32" s="204"/>
      <c r="X32" s="204"/>
      <c r="Y32" s="204"/>
      <c r="Z32" s="204"/>
      <c r="AA32" s="207"/>
      <c r="AB32" s="204"/>
      <c r="AC32" s="204"/>
      <c r="AD32" s="204"/>
      <c r="AE32" s="205"/>
    </row>
    <row r="33" spans="1:31">
      <c r="A33" s="201" t="s">
        <v>115</v>
      </c>
      <c r="B33" s="204"/>
      <c r="C33" s="204"/>
      <c r="D33" s="203"/>
      <c r="E33" s="204"/>
      <c r="F33" s="203"/>
      <c r="G33" s="204"/>
      <c r="H33" s="203"/>
      <c r="I33" s="204"/>
      <c r="J33" s="204"/>
      <c r="K33" s="207"/>
      <c r="L33" s="210"/>
      <c r="M33" s="213"/>
      <c r="N33" s="211"/>
      <c r="O33" s="217"/>
      <c r="P33" s="219"/>
      <c r="Q33" s="219"/>
      <c r="R33" s="219"/>
      <c r="S33" s="216" t="s">
        <v>86</v>
      </c>
      <c r="T33" s="208"/>
      <c r="U33" s="209"/>
      <c r="V33" s="209"/>
      <c r="W33" s="204"/>
      <c r="X33" s="204"/>
      <c r="Y33" s="204"/>
      <c r="Z33" s="204"/>
      <c r="AA33" s="205"/>
      <c r="AB33" s="203"/>
      <c r="AC33" s="204"/>
      <c r="AD33" s="204"/>
      <c r="AE33" s="205"/>
    </row>
    <row r="34" spans="1:31">
      <c r="A34" s="201" t="s">
        <v>116</v>
      </c>
      <c r="B34" s="204"/>
      <c r="C34" s="204"/>
      <c r="D34" s="203"/>
      <c r="E34" s="204"/>
      <c r="F34" s="203"/>
      <c r="G34" s="204"/>
      <c r="H34" s="203"/>
      <c r="I34" s="204"/>
      <c r="J34" s="204"/>
      <c r="K34" s="203"/>
      <c r="L34" s="204"/>
      <c r="M34" s="204"/>
      <c r="N34" s="207"/>
      <c r="O34" s="213"/>
      <c r="P34" s="211"/>
      <c r="Q34" s="217"/>
      <c r="R34" s="217"/>
      <c r="S34" s="217"/>
      <c r="T34" s="217"/>
      <c r="U34" s="217"/>
      <c r="V34" s="214"/>
      <c r="W34" s="208"/>
      <c r="X34" s="209"/>
      <c r="Y34" s="209"/>
      <c r="Z34" s="204"/>
      <c r="AA34" s="207"/>
      <c r="AB34" s="204"/>
      <c r="AC34" s="204"/>
      <c r="AD34" s="204"/>
      <c r="AE34" s="205"/>
    </row>
    <row r="35" spans="1:31">
      <c r="A35" s="201" t="s">
        <v>117</v>
      </c>
      <c r="B35" s="204"/>
      <c r="C35" s="204"/>
      <c r="D35" s="203"/>
      <c r="E35" s="204"/>
      <c r="F35" s="203"/>
      <c r="G35" s="204"/>
      <c r="H35" s="203"/>
      <c r="I35" s="204"/>
      <c r="J35" s="204"/>
      <c r="K35" s="203"/>
      <c r="L35" s="204"/>
      <c r="M35" s="204"/>
      <c r="N35" s="203"/>
      <c r="O35" s="204"/>
      <c r="P35" s="207"/>
      <c r="Q35" s="210"/>
      <c r="R35" s="210"/>
      <c r="S35" s="207"/>
      <c r="T35" s="210"/>
      <c r="U35" s="213"/>
      <c r="V35" s="211"/>
      <c r="W35" s="217"/>
      <c r="X35" s="217"/>
      <c r="Y35" s="215" t="s">
        <v>86</v>
      </c>
      <c r="Z35" s="207"/>
      <c r="AA35" s="204"/>
      <c r="AB35" s="204"/>
      <c r="AC35" s="204"/>
      <c r="AD35" s="204"/>
      <c r="AE35" s="205"/>
    </row>
    <row r="36" spans="1:31">
      <c r="A36" s="198" t="s">
        <v>118</v>
      </c>
      <c r="B36" s="204"/>
      <c r="C36" s="204"/>
      <c r="D36" s="203"/>
      <c r="E36" s="204"/>
      <c r="F36" s="203"/>
      <c r="G36" s="204"/>
      <c r="H36" s="203"/>
      <c r="I36" s="204"/>
      <c r="J36" s="204"/>
      <c r="K36" s="203"/>
      <c r="L36" s="204"/>
      <c r="M36" s="204"/>
      <c r="N36" s="203"/>
      <c r="O36" s="204"/>
      <c r="P36" s="203"/>
      <c r="Q36" s="204"/>
      <c r="R36" s="204"/>
      <c r="S36" s="199"/>
      <c r="T36" s="199"/>
      <c r="U36" s="199"/>
      <c r="V36" s="199"/>
      <c r="W36" s="199"/>
      <c r="X36" s="199"/>
      <c r="Y36" s="199"/>
      <c r="Z36" s="199"/>
      <c r="AA36" s="199"/>
      <c r="AB36" s="199"/>
      <c r="AC36" s="199"/>
      <c r="AD36" s="199"/>
      <c r="AE36" s="199"/>
    </row>
    <row r="37" spans="1:31">
      <c r="A37" s="201" t="s">
        <v>119</v>
      </c>
      <c r="B37" s="204"/>
      <c r="C37" s="204"/>
      <c r="D37" s="203"/>
      <c r="E37" s="204"/>
      <c r="F37" s="203"/>
      <c r="G37" s="204"/>
      <c r="H37" s="203"/>
      <c r="I37" s="204"/>
      <c r="J37" s="204"/>
      <c r="K37" s="203"/>
      <c r="L37" s="204"/>
      <c r="M37" s="204"/>
      <c r="N37" s="203"/>
      <c r="O37" s="204"/>
      <c r="P37" s="203"/>
      <c r="Q37" s="204"/>
      <c r="R37" s="205"/>
      <c r="S37" s="211"/>
      <c r="T37" s="217"/>
      <c r="U37" s="219"/>
      <c r="V37" s="216" t="s">
        <v>86</v>
      </c>
      <c r="W37" s="208"/>
      <c r="X37" s="209"/>
      <c r="Y37" s="209"/>
      <c r="Z37" s="204"/>
      <c r="AA37" s="204"/>
      <c r="AB37" s="204"/>
      <c r="AC37" s="204"/>
      <c r="AD37" s="204"/>
      <c r="AE37" s="205"/>
    </row>
    <row r="38" spans="1:31">
      <c r="A38" s="201" t="s">
        <v>120</v>
      </c>
      <c r="B38" s="204"/>
      <c r="C38" s="204"/>
      <c r="D38" s="203"/>
      <c r="E38" s="204"/>
      <c r="F38" s="203"/>
      <c r="G38" s="204"/>
      <c r="H38" s="203"/>
      <c r="I38" s="204"/>
      <c r="J38" s="204"/>
      <c r="K38" s="203"/>
      <c r="L38" s="204"/>
      <c r="M38" s="204"/>
      <c r="N38" s="203"/>
      <c r="O38" s="204"/>
      <c r="P38" s="203"/>
      <c r="Q38" s="204"/>
      <c r="R38" s="204"/>
      <c r="S38" s="207"/>
      <c r="T38" s="213"/>
      <c r="U38" s="211"/>
      <c r="V38" s="217"/>
      <c r="W38" s="217"/>
      <c r="X38" s="217"/>
      <c r="Y38" s="214"/>
      <c r="Z38" s="208"/>
      <c r="AA38" s="209"/>
      <c r="AB38" s="209"/>
      <c r="AC38" s="204"/>
      <c r="AD38" s="204"/>
      <c r="AE38" s="205"/>
    </row>
    <row r="39" spans="1:31">
      <c r="A39" s="201" t="s">
        <v>121</v>
      </c>
      <c r="B39" s="204"/>
      <c r="C39" s="204"/>
      <c r="D39" s="203"/>
      <c r="E39" s="204"/>
      <c r="F39" s="203"/>
      <c r="G39" s="204"/>
      <c r="H39" s="203"/>
      <c r="I39" s="204"/>
      <c r="J39" s="204"/>
      <c r="K39" s="203"/>
      <c r="L39" s="204"/>
      <c r="M39" s="204"/>
      <c r="N39" s="203"/>
      <c r="O39" s="204"/>
      <c r="P39" s="203"/>
      <c r="Q39" s="204"/>
      <c r="R39" s="204"/>
      <c r="S39" s="203"/>
      <c r="T39" s="204"/>
      <c r="U39" s="207"/>
      <c r="V39" s="210"/>
      <c r="W39" s="210"/>
      <c r="X39" s="213"/>
      <c r="Y39" s="211"/>
      <c r="Z39" s="217"/>
      <c r="AA39" s="217"/>
      <c r="AB39" s="215" t="s">
        <v>86</v>
      </c>
      <c r="AC39" s="208"/>
      <c r="AD39" s="209"/>
      <c r="AE39" s="222"/>
    </row>
    <row r="40" spans="1:31">
      <c r="A40" s="201" t="s">
        <v>122</v>
      </c>
      <c r="B40" s="204"/>
      <c r="C40" s="204"/>
      <c r="D40" s="203"/>
      <c r="E40" s="204"/>
      <c r="F40" s="203"/>
      <c r="G40" s="204"/>
      <c r="H40" s="203"/>
      <c r="I40" s="204"/>
      <c r="J40" s="204"/>
      <c r="K40" s="203"/>
      <c r="L40" s="204"/>
      <c r="M40" s="204"/>
      <c r="N40" s="203"/>
      <c r="O40" s="204"/>
      <c r="P40" s="203"/>
      <c r="Q40" s="204"/>
      <c r="R40" s="204"/>
      <c r="S40" s="203"/>
      <c r="T40" s="204"/>
      <c r="U40" s="203"/>
      <c r="V40" s="204"/>
      <c r="W40" s="204"/>
      <c r="X40" s="205"/>
      <c r="Y40" s="207"/>
      <c r="Z40" s="210"/>
      <c r="AA40" s="210"/>
      <c r="AB40" s="213"/>
      <c r="AC40" s="211"/>
      <c r="AD40" s="217"/>
      <c r="AE40" s="215" t="s">
        <v>86</v>
      </c>
    </row>
    <row r="41" spans="1:31">
      <c r="A41" s="198" t="s">
        <v>123</v>
      </c>
      <c r="B41" s="204"/>
      <c r="C41" s="204"/>
      <c r="D41" s="203"/>
      <c r="E41" s="204"/>
      <c r="F41" s="203"/>
      <c r="G41" s="204"/>
      <c r="H41" s="203"/>
      <c r="I41" s="204"/>
      <c r="J41" s="204"/>
      <c r="K41" s="203"/>
      <c r="L41" s="204"/>
      <c r="M41" s="204"/>
      <c r="N41" s="203"/>
      <c r="O41" s="204"/>
      <c r="P41" s="203"/>
      <c r="Q41" s="204"/>
      <c r="R41" s="204"/>
      <c r="S41" s="199"/>
      <c r="T41" s="199"/>
      <c r="U41" s="199"/>
      <c r="V41" s="199"/>
      <c r="W41" s="199"/>
      <c r="X41" s="199"/>
      <c r="Y41" s="199"/>
      <c r="Z41" s="199"/>
      <c r="AA41" s="199"/>
      <c r="AB41" s="199"/>
      <c r="AC41" s="199"/>
      <c r="AD41" s="199"/>
      <c r="AE41" s="199"/>
    </row>
    <row r="42" spans="1:31">
      <c r="A42" s="201" t="s">
        <v>124</v>
      </c>
      <c r="B42" s="204"/>
      <c r="C42" s="204"/>
      <c r="D42" s="203"/>
      <c r="E42" s="204"/>
      <c r="F42" s="203"/>
      <c r="G42" s="204"/>
      <c r="H42" s="203"/>
      <c r="I42" s="204"/>
      <c r="J42" s="204"/>
      <c r="K42" s="203"/>
      <c r="L42" s="204"/>
      <c r="M42" s="204"/>
      <c r="N42" s="203"/>
      <c r="O42" s="204"/>
      <c r="P42" s="203"/>
      <c r="Q42" s="204"/>
      <c r="R42" s="205"/>
      <c r="S42" s="211"/>
      <c r="T42" s="217"/>
      <c r="U42" s="217"/>
      <c r="V42" s="217"/>
      <c r="W42" s="216" t="s">
        <v>86</v>
      </c>
      <c r="X42" s="208"/>
      <c r="Y42" s="209"/>
      <c r="Z42" s="209"/>
      <c r="AA42" s="209"/>
      <c r="AB42" s="209"/>
      <c r="AC42" s="204"/>
      <c r="AD42" s="204"/>
      <c r="AE42" s="205"/>
    </row>
    <row r="43" spans="1:31">
      <c r="A43" s="201" t="s">
        <v>125</v>
      </c>
      <c r="B43" s="204"/>
      <c r="C43" s="204"/>
      <c r="D43" s="203"/>
      <c r="E43" s="204"/>
      <c r="F43" s="203"/>
      <c r="G43" s="204"/>
      <c r="H43" s="203"/>
      <c r="I43" s="204"/>
      <c r="J43" s="204"/>
      <c r="K43" s="203"/>
      <c r="L43" s="204"/>
      <c r="M43" s="204"/>
      <c r="N43" s="203"/>
      <c r="O43" s="204"/>
      <c r="P43" s="203"/>
      <c r="Q43" s="204"/>
      <c r="R43" s="204"/>
      <c r="S43" s="207"/>
      <c r="T43" s="210"/>
      <c r="U43" s="210"/>
      <c r="V43" s="213"/>
      <c r="W43" s="211"/>
      <c r="X43" s="217"/>
      <c r="Y43" s="217"/>
      <c r="Z43" s="217"/>
      <c r="AA43" s="217"/>
      <c r="AB43" s="214"/>
      <c r="AC43" s="208"/>
      <c r="AD43" s="209"/>
      <c r="AE43" s="222"/>
    </row>
    <row r="44" spans="1:31">
      <c r="A44" s="201" t="s">
        <v>126</v>
      </c>
      <c r="B44" s="204"/>
      <c r="C44" s="204"/>
      <c r="D44" s="203"/>
      <c r="E44" s="204"/>
      <c r="F44" s="203"/>
      <c r="G44" s="204"/>
      <c r="H44" s="203"/>
      <c r="I44" s="204"/>
      <c r="J44" s="204"/>
      <c r="K44" s="203"/>
      <c r="L44" s="204"/>
      <c r="M44" s="204"/>
      <c r="N44" s="203"/>
      <c r="O44" s="204"/>
      <c r="P44" s="203"/>
      <c r="Q44" s="204"/>
      <c r="R44" s="204"/>
      <c r="S44" s="203"/>
      <c r="T44" s="204"/>
      <c r="U44" s="204"/>
      <c r="V44" s="204"/>
      <c r="W44" s="207"/>
      <c r="X44" s="210"/>
      <c r="Y44" s="210"/>
      <c r="Z44" s="210"/>
      <c r="AA44" s="213"/>
      <c r="AB44" s="211"/>
      <c r="AC44" s="217"/>
      <c r="AD44" s="217"/>
      <c r="AE44" s="215" t="s">
        <v>86</v>
      </c>
    </row>
    <row r="45" spans="1:31">
      <c r="A45" s="198" t="s">
        <v>127</v>
      </c>
      <c r="B45" s="199"/>
      <c r="C45" s="199"/>
      <c r="D45" s="199"/>
      <c r="E45" s="199"/>
      <c r="F45" s="199"/>
      <c r="G45" s="199"/>
      <c r="H45" s="199"/>
      <c r="I45" s="199"/>
      <c r="J45" s="199"/>
      <c r="K45" s="199"/>
      <c r="L45" s="199"/>
      <c r="M45" s="199"/>
      <c r="N45" s="199"/>
      <c r="O45" s="199"/>
      <c r="P45" s="199"/>
      <c r="Q45" s="199"/>
      <c r="R45" s="199"/>
      <c r="S45" s="199"/>
      <c r="T45" s="199"/>
      <c r="U45" s="199"/>
      <c r="V45" s="199"/>
      <c r="W45" s="199"/>
      <c r="X45" s="199"/>
      <c r="Y45" s="199"/>
      <c r="Z45" s="199"/>
      <c r="AA45" s="199"/>
      <c r="AB45" s="199"/>
      <c r="AC45" s="199"/>
      <c r="AD45" s="199"/>
      <c r="AE45" s="199"/>
    </row>
    <row r="46" spans="1:31">
      <c r="A46" s="201" t="s">
        <v>128</v>
      </c>
      <c r="B46" s="211"/>
      <c r="C46" s="217"/>
      <c r="D46" s="218" t="s">
        <v>86</v>
      </c>
      <c r="E46" s="217"/>
      <c r="F46" s="217"/>
      <c r="G46" s="217"/>
      <c r="H46" s="217"/>
      <c r="I46" s="217"/>
      <c r="J46" s="217"/>
      <c r="K46" s="217"/>
      <c r="L46" s="217"/>
      <c r="M46" s="217"/>
      <c r="N46" s="217"/>
      <c r="O46" s="217"/>
      <c r="P46" s="217"/>
      <c r="Q46" s="217"/>
      <c r="R46" s="217"/>
      <c r="S46" s="217"/>
      <c r="T46" s="217"/>
      <c r="U46" s="217"/>
      <c r="V46" s="217"/>
      <c r="W46" s="217"/>
      <c r="X46" s="217"/>
      <c r="Y46" s="217"/>
      <c r="Z46" s="217"/>
      <c r="AA46" s="217"/>
      <c r="AB46" s="217"/>
      <c r="AC46" s="217"/>
      <c r="AD46" s="217"/>
      <c r="AE46" s="215" t="s">
        <v>86</v>
      </c>
    </row>
    <row r="47" spans="1:31">
      <c r="A47" s="201" t="s">
        <v>129</v>
      </c>
      <c r="B47" s="211"/>
      <c r="C47" s="218" t="s">
        <v>86</v>
      </c>
      <c r="D47" s="217"/>
      <c r="E47" s="217"/>
      <c r="F47" s="217"/>
      <c r="G47" s="217"/>
      <c r="H47" s="217"/>
      <c r="I47" s="217"/>
      <c r="J47" s="217"/>
      <c r="K47" s="217"/>
      <c r="L47" s="217"/>
      <c r="M47" s="217"/>
      <c r="N47" s="217"/>
      <c r="O47" s="217"/>
      <c r="P47" s="217"/>
      <c r="Q47" s="217"/>
      <c r="R47" s="217"/>
      <c r="S47" s="217"/>
      <c r="T47" s="217"/>
      <c r="U47" s="217"/>
      <c r="V47" s="217"/>
      <c r="W47" s="217"/>
      <c r="X47" s="217"/>
      <c r="Y47" s="217"/>
      <c r="Z47" s="217"/>
      <c r="AA47" s="217"/>
      <c r="AB47" s="217"/>
      <c r="AC47" s="217"/>
      <c r="AD47" s="217"/>
      <c r="AE47" s="212"/>
    </row>
    <row r="48" spans="1:31">
      <c r="A48" s="201" t="s">
        <v>130</v>
      </c>
      <c r="B48" s="211"/>
      <c r="C48" s="217"/>
      <c r="D48" s="217"/>
      <c r="E48" s="217"/>
      <c r="F48" s="217"/>
      <c r="G48" s="217"/>
      <c r="H48" s="217"/>
      <c r="I48" s="217"/>
      <c r="J48" s="217"/>
      <c r="K48" s="217"/>
      <c r="L48" s="217"/>
      <c r="M48" s="217"/>
      <c r="N48" s="217"/>
      <c r="O48" s="217"/>
      <c r="P48" s="217"/>
      <c r="Q48" s="217"/>
      <c r="R48" s="217"/>
      <c r="S48" s="217"/>
      <c r="T48" s="217"/>
      <c r="U48" s="217"/>
      <c r="V48" s="217"/>
      <c r="W48" s="217"/>
      <c r="X48" s="217"/>
      <c r="Y48" s="217"/>
      <c r="Z48" s="217"/>
      <c r="AA48" s="217"/>
      <c r="AB48" s="217"/>
      <c r="AC48" s="217"/>
      <c r="AD48" s="217"/>
      <c r="AE48" s="212"/>
    </row>
    <row r="49" spans="1:31">
      <c r="A49" s="201" t="s">
        <v>131</v>
      </c>
      <c r="B49" s="211"/>
      <c r="C49" s="217"/>
      <c r="D49" s="217"/>
      <c r="E49" s="217"/>
      <c r="F49" s="217"/>
      <c r="G49" s="217"/>
      <c r="H49" s="217"/>
      <c r="I49" s="217"/>
      <c r="J49" s="217"/>
      <c r="K49" s="217"/>
      <c r="L49" s="217"/>
      <c r="M49" s="217"/>
      <c r="N49" s="217"/>
      <c r="O49" s="217"/>
      <c r="P49" s="217"/>
      <c r="Q49" s="217"/>
      <c r="R49" s="217"/>
      <c r="S49" s="217"/>
      <c r="T49" s="217"/>
      <c r="U49" s="217"/>
      <c r="V49" s="217"/>
      <c r="W49" s="217"/>
      <c r="X49" s="217"/>
      <c r="Y49" s="217"/>
      <c r="Z49" s="217"/>
      <c r="AA49" s="217"/>
      <c r="AB49" s="217"/>
      <c r="AC49" s="217"/>
      <c r="AD49" s="217"/>
      <c r="AE49" s="212"/>
    </row>
    <row r="50" spans="1:31">
      <c r="A50" s="201" t="s">
        <v>132</v>
      </c>
      <c r="B50" s="211"/>
      <c r="C50" s="217"/>
      <c r="D50" s="217"/>
      <c r="E50" s="217"/>
      <c r="F50" s="217"/>
      <c r="G50" s="217"/>
      <c r="H50" s="217"/>
      <c r="I50" s="217"/>
      <c r="J50" s="217"/>
      <c r="K50" s="217"/>
      <c r="L50" s="217"/>
      <c r="M50" s="217"/>
      <c r="N50" s="217"/>
      <c r="O50" s="217"/>
      <c r="P50" s="217"/>
      <c r="Q50" s="217"/>
      <c r="R50" s="217"/>
      <c r="S50" s="217"/>
      <c r="T50" s="217"/>
      <c r="U50" s="217"/>
      <c r="V50" s="217"/>
      <c r="W50" s="217"/>
      <c r="X50" s="217"/>
      <c r="Y50" s="217"/>
      <c r="Z50" s="217"/>
      <c r="AA50" s="217"/>
      <c r="AB50" s="217"/>
      <c r="AC50" s="217"/>
      <c r="AD50" s="217"/>
      <c r="AE50" s="212"/>
    </row>
    <row r="51" spans="1:31">
      <c r="A51" s="198" t="s">
        <v>133</v>
      </c>
      <c r="B51" s="199"/>
      <c r="C51" s="199"/>
      <c r="D51" s="199"/>
      <c r="E51" s="199"/>
      <c r="F51" s="199"/>
      <c r="G51" s="199"/>
      <c r="H51" s="199"/>
      <c r="I51" s="199"/>
      <c r="J51" s="199"/>
      <c r="K51" s="199"/>
      <c r="L51" s="199"/>
      <c r="M51" s="199"/>
      <c r="N51" s="199"/>
      <c r="O51" s="199"/>
      <c r="P51" s="199"/>
      <c r="Q51" s="199"/>
      <c r="R51" s="199"/>
      <c r="S51" s="199"/>
      <c r="T51" s="199"/>
      <c r="U51" s="199"/>
      <c r="V51" s="199"/>
      <c r="W51" s="199"/>
      <c r="X51" s="199"/>
      <c r="Y51" s="199"/>
      <c r="Z51" s="199"/>
      <c r="AA51" s="199"/>
      <c r="AB51" s="199"/>
      <c r="AC51" s="199"/>
      <c r="AD51" s="199"/>
      <c r="AE51" s="199"/>
    </row>
    <row r="52" spans="1:31">
      <c r="A52" s="201" t="s">
        <v>134</v>
      </c>
      <c r="B52" s="211"/>
      <c r="C52" s="218" t="s">
        <v>86</v>
      </c>
      <c r="D52" s="217"/>
      <c r="E52" s="217"/>
      <c r="F52" s="217"/>
      <c r="G52" s="217"/>
      <c r="H52" s="217"/>
      <c r="I52" s="217"/>
      <c r="J52" s="217"/>
      <c r="K52" s="217"/>
      <c r="L52" s="217"/>
      <c r="M52" s="217"/>
      <c r="N52" s="217"/>
      <c r="O52" s="217"/>
      <c r="P52" s="217"/>
      <c r="Q52" s="217"/>
      <c r="R52" s="217"/>
      <c r="S52" s="217"/>
      <c r="T52" s="217"/>
      <c r="U52" s="217"/>
      <c r="V52" s="217"/>
      <c r="W52" s="217"/>
      <c r="X52" s="217"/>
      <c r="Y52" s="217"/>
      <c r="Z52" s="217"/>
      <c r="AA52" s="217"/>
      <c r="AB52" s="217"/>
      <c r="AC52" s="217"/>
      <c r="AD52" s="217"/>
      <c r="AE52" s="212"/>
    </row>
    <row r="53" spans="1:31">
      <c r="A53" s="201" t="s">
        <v>135</v>
      </c>
      <c r="B53" s="211"/>
      <c r="C53" s="217"/>
      <c r="D53" s="217"/>
      <c r="E53" s="217"/>
      <c r="F53" s="217"/>
      <c r="G53" s="217"/>
      <c r="H53" s="217"/>
      <c r="I53" s="217"/>
      <c r="J53" s="217"/>
      <c r="K53" s="217"/>
      <c r="L53" s="217"/>
      <c r="M53" s="217"/>
      <c r="N53" s="217"/>
      <c r="O53" s="217"/>
      <c r="P53" s="217"/>
      <c r="Q53" s="217"/>
      <c r="R53" s="217"/>
      <c r="S53" s="217"/>
      <c r="T53" s="217"/>
      <c r="U53" s="217"/>
      <c r="V53" s="217"/>
      <c r="W53" s="217"/>
      <c r="X53" s="217"/>
      <c r="Y53" s="217"/>
      <c r="Z53" s="217"/>
      <c r="AA53" s="217"/>
      <c r="AB53" s="217"/>
      <c r="AC53" s="217"/>
      <c r="AD53" s="217"/>
      <c r="AE53" s="212"/>
    </row>
    <row r="54" spans="1:31">
      <c r="A54" s="201" t="s">
        <v>136</v>
      </c>
      <c r="B54" s="211"/>
      <c r="C54" s="217"/>
      <c r="D54" s="217"/>
      <c r="E54" s="217"/>
      <c r="F54" s="217"/>
      <c r="G54" s="217"/>
      <c r="H54" s="217"/>
      <c r="I54" s="217"/>
      <c r="J54" s="217"/>
      <c r="K54" s="217"/>
      <c r="L54" s="217"/>
      <c r="M54" s="217"/>
      <c r="N54" s="217"/>
      <c r="O54" s="217"/>
      <c r="P54" s="217"/>
      <c r="Q54" s="217"/>
      <c r="R54" s="217"/>
      <c r="S54" s="217"/>
      <c r="T54" s="217"/>
      <c r="U54" s="217"/>
      <c r="V54" s="217"/>
      <c r="W54" s="217"/>
      <c r="X54" s="217"/>
      <c r="Y54" s="217"/>
      <c r="Z54" s="217"/>
      <c r="AA54" s="217"/>
      <c r="AB54" s="217"/>
      <c r="AC54" s="217"/>
      <c r="AD54" s="217"/>
      <c r="AE54" s="212"/>
    </row>
    <row r="55" spans="1:31">
      <c r="A55" s="201" t="s">
        <v>137</v>
      </c>
      <c r="B55" s="211"/>
      <c r="C55" s="217"/>
      <c r="D55" s="217"/>
      <c r="E55" s="217"/>
      <c r="F55" s="217"/>
      <c r="G55" s="217"/>
      <c r="H55" s="217"/>
      <c r="I55" s="217"/>
      <c r="J55" s="217"/>
      <c r="K55" s="217"/>
      <c r="L55" s="217"/>
      <c r="M55" s="217"/>
      <c r="N55" s="217"/>
      <c r="O55" s="217"/>
      <c r="P55" s="217"/>
      <c r="Q55" s="217"/>
      <c r="R55" s="217"/>
      <c r="S55" s="217"/>
      <c r="T55" s="217"/>
      <c r="U55" s="217"/>
      <c r="V55" s="217"/>
      <c r="W55" s="217"/>
      <c r="X55" s="217"/>
      <c r="Y55" s="217"/>
      <c r="Z55" s="217"/>
      <c r="AA55" s="217"/>
      <c r="AB55" s="217"/>
      <c r="AC55" s="217"/>
      <c r="AD55" s="217"/>
      <c r="AE55" s="212"/>
    </row>
  </sheetData>
  <phoneticPr fontId="3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1ABCC-B306-0B4B-875B-29304E117411}">
  <dimension ref="B2:Q56"/>
  <sheetViews>
    <sheetView workbookViewId="0">
      <selection activeCell="P39" sqref="P39:Q39"/>
    </sheetView>
  </sheetViews>
  <sheetFormatPr baseColWidth="10" defaultColWidth="11.5" defaultRowHeight="15"/>
  <cols>
    <col min="2" max="2" width="54.6640625" bestFit="1" customWidth="1"/>
    <col min="3" max="3" width="13.1640625" customWidth="1"/>
  </cols>
  <sheetData>
    <row r="2" spans="2:17">
      <c r="E2" s="229"/>
      <c r="F2" s="229"/>
      <c r="G2" s="229"/>
    </row>
    <row r="3" spans="2:17">
      <c r="C3" s="156">
        <v>1</v>
      </c>
      <c r="D3" s="157">
        <v>2</v>
      </c>
      <c r="E3" s="158">
        <v>3</v>
      </c>
      <c r="F3" s="124">
        <v>4</v>
      </c>
      <c r="G3" s="156">
        <v>5</v>
      </c>
      <c r="H3" s="157">
        <v>6</v>
      </c>
      <c r="I3" s="158">
        <v>7</v>
      </c>
      <c r="J3" s="124">
        <v>8</v>
      </c>
      <c r="K3" s="156">
        <v>9</v>
      </c>
      <c r="L3" s="157">
        <v>10</v>
      </c>
      <c r="M3" s="158">
        <v>11</v>
      </c>
      <c r="N3" s="124">
        <v>12</v>
      </c>
      <c r="O3" s="156">
        <v>13</v>
      </c>
      <c r="P3" s="159">
        <v>14</v>
      </c>
      <c r="Q3" s="159">
        <v>15</v>
      </c>
    </row>
    <row r="4" spans="2:17">
      <c r="C4" s="156" t="s">
        <v>138</v>
      </c>
      <c r="D4" s="157" t="s">
        <v>139</v>
      </c>
      <c r="E4" s="158" t="s">
        <v>140</v>
      </c>
      <c r="F4" s="124" t="s">
        <v>141</v>
      </c>
      <c r="G4" s="156" t="s">
        <v>142</v>
      </c>
      <c r="H4" s="157" t="s">
        <v>143</v>
      </c>
      <c r="I4" s="158" t="s">
        <v>144</v>
      </c>
      <c r="J4" s="124" t="s">
        <v>145</v>
      </c>
      <c r="K4" s="156" t="s">
        <v>146</v>
      </c>
      <c r="L4" s="157" t="s">
        <v>147</v>
      </c>
      <c r="M4" s="158" t="s">
        <v>148</v>
      </c>
      <c r="N4" s="124" t="s">
        <v>149</v>
      </c>
      <c r="O4" s="156" t="s">
        <v>150</v>
      </c>
      <c r="P4" s="159" t="s">
        <v>151</v>
      </c>
      <c r="Q4" s="159" t="s">
        <v>152</v>
      </c>
    </row>
    <row r="5" spans="2:17">
      <c r="B5" s="174" t="s">
        <v>31</v>
      </c>
    </row>
    <row r="6" spans="2:17">
      <c r="B6" s="175" t="s">
        <v>153</v>
      </c>
      <c r="C6" s="184">
        <f>45.6*4.5</f>
        <v>205.20000000000002</v>
      </c>
      <c r="D6" s="184"/>
      <c r="E6" s="184">
        <v>97.2</v>
      </c>
      <c r="F6" s="184">
        <f>15.6*4.5</f>
        <v>70.2</v>
      </c>
      <c r="G6" s="184">
        <f>19.8*4.5</f>
        <v>89.100000000000009</v>
      </c>
      <c r="H6" s="184"/>
      <c r="I6" s="184"/>
      <c r="J6" s="184">
        <f>6.6*4.5</f>
        <v>29.7</v>
      </c>
      <c r="K6" s="184">
        <f>2.52*4.5</f>
        <v>11.34</v>
      </c>
      <c r="L6" s="184">
        <v>34.700000000000003</v>
      </c>
      <c r="M6" s="184">
        <f>17.4*4.5</f>
        <v>78.3</v>
      </c>
      <c r="N6" s="184">
        <f>8.4*4.5</f>
        <v>37.800000000000004</v>
      </c>
      <c r="O6" s="184">
        <f>13.2*4.5</f>
        <v>59.4</v>
      </c>
      <c r="P6" s="184">
        <v>21.6</v>
      </c>
      <c r="Q6" s="184">
        <v>32.4</v>
      </c>
    </row>
    <row r="7" spans="2:17">
      <c r="B7" s="176" t="s">
        <v>154</v>
      </c>
      <c r="C7" s="172">
        <v>4753.1578947368416</v>
      </c>
      <c r="D7" s="172">
        <v>5500</v>
      </c>
      <c r="E7" s="172">
        <v>3164.68408840867</v>
      </c>
      <c r="F7" s="172">
        <v>2376.5</v>
      </c>
      <c r="G7" s="172">
        <v>9792.7000000000007</v>
      </c>
      <c r="H7" s="172"/>
      <c r="I7" s="172"/>
      <c r="J7" s="172">
        <v>2020</v>
      </c>
      <c r="K7" s="172">
        <v>10615.07</v>
      </c>
      <c r="L7" s="172">
        <v>6930</v>
      </c>
      <c r="M7" s="172">
        <v>15810</v>
      </c>
      <c r="N7" s="172">
        <v>7470</v>
      </c>
      <c r="O7" s="172">
        <v>5387.5</v>
      </c>
      <c r="P7" s="172">
        <v>4000</v>
      </c>
      <c r="Q7" s="172">
        <v>4500</v>
      </c>
    </row>
    <row r="8" spans="2:17">
      <c r="B8" s="176" t="s">
        <v>155</v>
      </c>
      <c r="C8" s="172">
        <f>C6*C7</f>
        <v>975348</v>
      </c>
      <c r="D8" s="172">
        <f t="shared" ref="D8:H8" si="0">D6*D7</f>
        <v>0</v>
      </c>
      <c r="E8" s="172">
        <f t="shared" si="0"/>
        <v>307607.29339332273</v>
      </c>
      <c r="F8" s="172">
        <f t="shared" si="0"/>
        <v>166830.30000000002</v>
      </c>
      <c r="G8" s="172">
        <f t="shared" si="0"/>
        <v>872529.57000000018</v>
      </c>
      <c r="H8" s="172">
        <f t="shared" si="0"/>
        <v>0</v>
      </c>
      <c r="I8" s="172">
        <f t="shared" ref="I8:Q8" si="1">I6*I7</f>
        <v>0</v>
      </c>
      <c r="J8" s="172">
        <f t="shared" si="1"/>
        <v>59994</v>
      </c>
      <c r="K8" s="172">
        <f t="shared" si="1"/>
        <v>120374.89379999999</v>
      </c>
      <c r="L8" s="172">
        <f t="shared" si="1"/>
        <v>240471.00000000003</v>
      </c>
      <c r="M8" s="172">
        <f t="shared" si="1"/>
        <v>1237923</v>
      </c>
      <c r="N8" s="172">
        <f t="shared" si="1"/>
        <v>282366.00000000006</v>
      </c>
      <c r="O8" s="172">
        <f t="shared" si="1"/>
        <v>320017.5</v>
      </c>
      <c r="P8" s="172">
        <f t="shared" si="1"/>
        <v>86400</v>
      </c>
      <c r="Q8" s="172">
        <f t="shared" si="1"/>
        <v>145800</v>
      </c>
    </row>
    <row r="9" spans="2:17">
      <c r="C9" s="172"/>
      <c r="D9" s="172"/>
      <c r="E9" s="172"/>
      <c r="F9" s="172"/>
      <c r="G9" s="172"/>
      <c r="H9" s="172"/>
      <c r="I9" s="172"/>
      <c r="J9" s="172"/>
      <c r="K9" s="172"/>
      <c r="L9" s="172"/>
      <c r="M9" s="172"/>
      <c r="N9" s="172"/>
      <c r="O9" s="172"/>
      <c r="P9" s="172"/>
      <c r="Q9" s="172"/>
    </row>
    <row r="10" spans="2:17">
      <c r="B10" s="177" t="s">
        <v>156</v>
      </c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</row>
    <row r="11" spans="2:17">
      <c r="B11" s="178"/>
      <c r="C11" s="172">
        <v>8100</v>
      </c>
      <c r="D11" s="172"/>
      <c r="E11" s="172"/>
      <c r="F11" s="172"/>
      <c r="G11" s="172"/>
      <c r="H11" s="172"/>
      <c r="I11" s="172"/>
      <c r="J11" s="172"/>
      <c r="K11" s="172"/>
      <c r="L11" s="172">
        <v>6000</v>
      </c>
      <c r="M11" s="172"/>
      <c r="N11" s="172"/>
      <c r="O11" s="172"/>
      <c r="P11" s="172"/>
      <c r="Q11" s="172"/>
    </row>
    <row r="12" spans="2:17">
      <c r="B12" s="179"/>
      <c r="C12" s="172">
        <v>17200</v>
      </c>
      <c r="D12" s="172"/>
      <c r="E12" s="172"/>
      <c r="F12" s="172"/>
      <c r="G12" s="172"/>
      <c r="H12" s="172"/>
      <c r="I12" s="172"/>
      <c r="J12" s="172"/>
      <c r="K12" s="172"/>
      <c r="L12" s="172">
        <v>1000</v>
      </c>
      <c r="M12" s="172"/>
      <c r="N12" s="172"/>
      <c r="O12" s="172"/>
      <c r="P12" s="172"/>
      <c r="Q12" s="172"/>
    </row>
    <row r="13" spans="2:17">
      <c r="B13" s="180" t="s">
        <v>157</v>
      </c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</row>
    <row r="14" spans="2:17">
      <c r="C14" s="172">
        <v>8000</v>
      </c>
      <c r="D14" s="172"/>
      <c r="E14" s="172"/>
      <c r="F14" s="172">
        <v>4500</v>
      </c>
      <c r="G14" s="186">
        <v>20000</v>
      </c>
      <c r="H14" s="172"/>
      <c r="I14" s="172"/>
      <c r="J14" s="172"/>
      <c r="K14" s="172"/>
      <c r="L14" s="172"/>
      <c r="M14" s="172"/>
      <c r="N14" s="172"/>
      <c r="O14" s="172"/>
      <c r="P14" s="172"/>
      <c r="Q14" s="172">
        <v>1000</v>
      </c>
    </row>
    <row r="15" spans="2:17">
      <c r="B15" s="181" t="s">
        <v>158</v>
      </c>
      <c r="C15" s="172"/>
      <c r="D15" s="172"/>
      <c r="E15" s="172"/>
      <c r="F15" s="172"/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Q15" s="172"/>
    </row>
    <row r="16" spans="2:17">
      <c r="B16" t="s">
        <v>159</v>
      </c>
      <c r="C16" s="172">
        <v>100000</v>
      </c>
      <c r="D16" s="172"/>
      <c r="E16" s="172"/>
      <c r="F16" s="172"/>
      <c r="G16" s="172"/>
      <c r="H16" s="172"/>
      <c r="I16" s="172"/>
      <c r="J16" s="172"/>
      <c r="K16" s="172"/>
      <c r="L16" s="172"/>
      <c r="M16" s="172"/>
      <c r="N16" s="172"/>
      <c r="O16" s="172"/>
      <c r="P16" s="172"/>
      <c r="Q16" s="172"/>
    </row>
    <row r="17" spans="2:17">
      <c r="B17" t="s">
        <v>160</v>
      </c>
      <c r="C17" s="172">
        <v>3000</v>
      </c>
      <c r="D17" s="172"/>
      <c r="E17" s="172"/>
      <c r="F17" s="172"/>
      <c r="G17" s="172"/>
      <c r="H17" s="172"/>
      <c r="I17" s="172"/>
      <c r="J17" s="172"/>
      <c r="K17" s="172"/>
      <c r="L17" s="172"/>
      <c r="M17" s="172"/>
      <c r="N17" s="172"/>
      <c r="O17" s="172"/>
      <c r="P17" s="172"/>
      <c r="Q17" s="172"/>
    </row>
    <row r="18" spans="2:17" ht="16">
      <c r="B18" s="182" t="s">
        <v>161</v>
      </c>
      <c r="C18" s="172">
        <v>6750</v>
      </c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2"/>
      <c r="O18" s="172"/>
      <c r="P18" s="172"/>
      <c r="Q18" s="172"/>
    </row>
    <row r="19" spans="2:17">
      <c r="B19" t="s">
        <v>162</v>
      </c>
      <c r="C19" s="172">
        <v>15000</v>
      </c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2"/>
      <c r="O19" s="172"/>
      <c r="P19" s="172"/>
      <c r="Q19" s="172"/>
    </row>
    <row r="20" spans="2:17">
      <c r="B20" s="169" t="s">
        <v>36</v>
      </c>
      <c r="C20" s="172">
        <v>25000</v>
      </c>
      <c r="D20" s="172"/>
      <c r="E20" s="172"/>
      <c r="F20" s="172">
        <v>10000</v>
      </c>
      <c r="G20" s="172"/>
      <c r="H20" s="172"/>
      <c r="I20" s="172"/>
      <c r="J20" s="172"/>
      <c r="K20" s="172"/>
      <c r="L20" s="172">
        <v>1500</v>
      </c>
      <c r="M20" s="172"/>
      <c r="N20" s="172"/>
      <c r="O20" s="172"/>
      <c r="P20" s="172"/>
      <c r="Q20" s="172"/>
    </row>
    <row r="21" spans="2:17">
      <c r="B21" t="s">
        <v>163</v>
      </c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2">
        <v>10000</v>
      </c>
      <c r="Q21" s="172">
        <v>10000</v>
      </c>
    </row>
    <row r="22" spans="2:17">
      <c r="B22" t="s">
        <v>164</v>
      </c>
      <c r="C22" s="172"/>
      <c r="D22" s="172"/>
      <c r="E22" s="172"/>
      <c r="F22" s="172">
        <v>5000</v>
      </c>
      <c r="G22" s="172"/>
      <c r="H22" s="172"/>
      <c r="I22" s="172"/>
      <c r="J22" s="172"/>
      <c r="K22" s="172"/>
      <c r="L22" s="172"/>
      <c r="M22" s="172"/>
      <c r="N22" s="172"/>
      <c r="O22" s="172"/>
      <c r="P22" s="172"/>
      <c r="Q22" s="172"/>
    </row>
    <row r="23" spans="2:17">
      <c r="B23" t="s">
        <v>165</v>
      </c>
      <c r="C23" s="172"/>
      <c r="D23" s="172"/>
      <c r="E23" s="172">
        <v>3000</v>
      </c>
      <c r="F23" s="172"/>
      <c r="G23" s="172"/>
      <c r="H23" s="172"/>
      <c r="I23" s="172"/>
      <c r="J23" s="172"/>
      <c r="K23" s="172"/>
      <c r="L23" s="172">
        <v>1700</v>
      </c>
      <c r="M23" s="172"/>
      <c r="N23" s="172"/>
      <c r="O23" s="172"/>
      <c r="P23" s="172"/>
      <c r="Q23" s="172"/>
    </row>
    <row r="24" spans="2:17">
      <c r="B24" s="181" t="s">
        <v>166</v>
      </c>
      <c r="C24" s="185"/>
      <c r="D24" s="185"/>
      <c r="E24" s="185"/>
      <c r="F24" s="185"/>
      <c r="G24" s="185"/>
      <c r="H24" s="185"/>
      <c r="I24" s="185"/>
      <c r="J24" s="185"/>
      <c r="K24" s="185"/>
      <c r="L24" s="185">
        <v>51000</v>
      </c>
      <c r="M24" s="185"/>
      <c r="N24" s="185"/>
      <c r="O24" s="185"/>
      <c r="P24" s="185">
        <v>24300</v>
      </c>
      <c r="Q24" s="185">
        <v>50000</v>
      </c>
    </row>
    <row r="25" spans="2:17">
      <c r="C25" s="172"/>
      <c r="D25" s="172"/>
      <c r="E25" s="172"/>
      <c r="F25" s="172">
        <v>20000</v>
      </c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</row>
    <row r="26" spans="2:17">
      <c r="C26" s="172"/>
      <c r="D26" s="172"/>
      <c r="E26" s="172"/>
      <c r="F26" s="172"/>
      <c r="G26" s="172"/>
      <c r="H26" s="172"/>
      <c r="I26" s="172"/>
      <c r="J26" s="172"/>
      <c r="K26" s="172"/>
      <c r="L26" s="172"/>
      <c r="M26" s="172"/>
      <c r="N26" s="172"/>
      <c r="O26" s="172"/>
      <c r="P26" s="172"/>
      <c r="Q26" s="172"/>
    </row>
    <row r="27" spans="2:17">
      <c r="B27" s="183" t="s">
        <v>167</v>
      </c>
      <c r="C27" s="172">
        <v>8000</v>
      </c>
      <c r="D27" s="172"/>
      <c r="E27" s="172">
        <v>77652</v>
      </c>
      <c r="F27" s="172"/>
      <c r="G27" s="172"/>
      <c r="H27" s="172"/>
      <c r="I27" s="172"/>
      <c r="J27" s="172"/>
      <c r="K27" s="172"/>
      <c r="L27" s="172"/>
      <c r="M27" s="172"/>
      <c r="N27" s="172"/>
      <c r="O27" s="172"/>
      <c r="P27" s="172"/>
      <c r="Q27" s="172"/>
    </row>
    <row r="28" spans="2:17">
      <c r="C28" s="172"/>
      <c r="D28" s="172"/>
      <c r="E28" s="172"/>
      <c r="F28" s="172"/>
      <c r="G28" s="172"/>
      <c r="H28" s="172"/>
      <c r="I28" s="172"/>
      <c r="J28" s="172"/>
      <c r="K28" s="172"/>
      <c r="L28" s="172"/>
      <c r="M28" s="172"/>
      <c r="N28" s="172"/>
      <c r="O28" s="172"/>
      <c r="P28" s="172"/>
      <c r="Q28" s="172"/>
    </row>
    <row r="29" spans="2:17">
      <c r="C29" s="172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2"/>
      <c r="O29" s="172"/>
      <c r="P29" s="172"/>
      <c r="Q29" s="172"/>
    </row>
    <row r="30" spans="2:17">
      <c r="B30" s="180" t="s">
        <v>12</v>
      </c>
      <c r="C30" s="172">
        <f t="shared" ref="C30:Q30" si="2">SUM(C8:C29)</f>
        <v>1166398</v>
      </c>
      <c r="D30" s="172">
        <f t="shared" si="2"/>
        <v>0</v>
      </c>
      <c r="E30" s="172">
        <f t="shared" si="2"/>
        <v>388259.29339332273</v>
      </c>
      <c r="F30" s="172">
        <f t="shared" si="2"/>
        <v>206330.30000000002</v>
      </c>
      <c r="G30" s="172">
        <f t="shared" si="2"/>
        <v>892529.57000000018</v>
      </c>
      <c r="H30" s="172">
        <f t="shared" si="2"/>
        <v>0</v>
      </c>
      <c r="I30" s="172">
        <f t="shared" si="2"/>
        <v>0</v>
      </c>
      <c r="J30" s="172">
        <f t="shared" si="2"/>
        <v>59994</v>
      </c>
      <c r="K30" s="172">
        <f t="shared" si="2"/>
        <v>120374.89379999999</v>
      </c>
      <c r="L30" s="172">
        <f t="shared" si="2"/>
        <v>301671</v>
      </c>
      <c r="M30" s="172">
        <f t="shared" si="2"/>
        <v>1237923</v>
      </c>
      <c r="N30" s="172">
        <f t="shared" si="2"/>
        <v>282366.00000000006</v>
      </c>
      <c r="O30" s="172">
        <f t="shared" si="2"/>
        <v>320017.5</v>
      </c>
      <c r="P30" s="172">
        <f t="shared" si="2"/>
        <v>120700</v>
      </c>
      <c r="Q30" s="172">
        <f t="shared" si="2"/>
        <v>206800</v>
      </c>
    </row>
    <row r="31" spans="2:17">
      <c r="C31" s="173"/>
    </row>
    <row r="34" spans="2:17">
      <c r="C34" s="156">
        <v>1</v>
      </c>
      <c r="D34" s="157">
        <v>2</v>
      </c>
      <c r="E34" s="158">
        <v>3</v>
      </c>
      <c r="F34" s="124">
        <v>4</v>
      </c>
      <c r="G34" s="156">
        <v>5</v>
      </c>
      <c r="H34" s="157">
        <v>6</v>
      </c>
      <c r="I34" s="158">
        <v>7</v>
      </c>
      <c r="J34" s="124">
        <v>8</v>
      </c>
      <c r="K34" s="156">
        <v>9</v>
      </c>
      <c r="L34" s="157">
        <v>10</v>
      </c>
      <c r="M34" s="158">
        <v>11</v>
      </c>
      <c r="N34" s="124">
        <v>12</v>
      </c>
      <c r="O34" s="156">
        <v>13</v>
      </c>
      <c r="P34" s="159">
        <v>14</v>
      </c>
      <c r="Q34" s="159">
        <v>15</v>
      </c>
    </row>
    <row r="35" spans="2:17">
      <c r="C35" s="156" t="s">
        <v>138</v>
      </c>
      <c r="D35" s="157" t="s">
        <v>139</v>
      </c>
      <c r="E35" s="158" t="s">
        <v>140</v>
      </c>
      <c r="F35" s="124" t="s">
        <v>141</v>
      </c>
      <c r="G35" s="156" t="s">
        <v>142</v>
      </c>
      <c r="H35" s="157" t="s">
        <v>143</v>
      </c>
      <c r="I35" s="158" t="s">
        <v>144</v>
      </c>
      <c r="J35" s="124" t="s">
        <v>145</v>
      </c>
      <c r="K35" s="156" t="s">
        <v>146</v>
      </c>
      <c r="L35" s="157" t="s">
        <v>147</v>
      </c>
      <c r="M35" s="158" t="s">
        <v>148</v>
      </c>
      <c r="N35" s="124" t="s">
        <v>149</v>
      </c>
      <c r="O35" s="156" t="s">
        <v>150</v>
      </c>
      <c r="P35" s="159" t="s">
        <v>151</v>
      </c>
      <c r="Q35" s="159" t="s">
        <v>152</v>
      </c>
    </row>
    <row r="36" spans="2:17">
      <c r="C36" s="172">
        <v>4753</v>
      </c>
      <c r="D36" s="172">
        <v>5500</v>
      </c>
      <c r="E36" s="172">
        <v>3165</v>
      </c>
      <c r="F36" s="172">
        <v>2380</v>
      </c>
      <c r="G36" s="172">
        <v>9793</v>
      </c>
      <c r="H36" s="172">
        <v>6700</v>
      </c>
      <c r="I36" s="172">
        <v>6800</v>
      </c>
      <c r="J36" s="172">
        <v>2020</v>
      </c>
      <c r="K36" s="172">
        <v>10615</v>
      </c>
      <c r="L36" s="172">
        <v>6930</v>
      </c>
      <c r="M36" s="172">
        <v>15810</v>
      </c>
      <c r="N36" s="172">
        <v>7470</v>
      </c>
      <c r="O36" s="172">
        <v>5437.5</v>
      </c>
      <c r="P36" s="172">
        <v>4000</v>
      </c>
      <c r="Q36" s="172">
        <v>4500</v>
      </c>
    </row>
    <row r="37" spans="2:17">
      <c r="B37" s="6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2:17">
      <c r="B38" s="160" t="s">
        <v>29</v>
      </c>
      <c r="C38" s="4"/>
      <c r="D38" s="4"/>
      <c r="E38" s="4"/>
      <c r="F38" s="4"/>
      <c r="G38" s="4"/>
      <c r="H38" s="155"/>
      <c r="I38" s="4"/>
      <c r="J38" s="4"/>
      <c r="K38" s="4"/>
      <c r="L38" s="4"/>
      <c r="M38" s="155"/>
      <c r="N38" s="4"/>
      <c r="O38" s="4"/>
      <c r="P38" s="4"/>
      <c r="Q38" s="4"/>
    </row>
    <row r="39" spans="2:17">
      <c r="B39" s="125" t="s">
        <v>30</v>
      </c>
      <c r="C39" s="131">
        <v>123.60000000000002</v>
      </c>
      <c r="D39" s="131">
        <v>47.900000000000006</v>
      </c>
      <c r="E39" s="171">
        <v>31.700000000000003</v>
      </c>
      <c r="F39" s="131">
        <v>66.399999999999991</v>
      </c>
      <c r="G39" s="131">
        <v>49.199999999999996</v>
      </c>
      <c r="H39" s="131">
        <v>47.599999999999994</v>
      </c>
      <c r="I39" s="131">
        <v>12.1</v>
      </c>
      <c r="J39" s="131">
        <v>15</v>
      </c>
      <c r="K39" s="131">
        <v>8.4</v>
      </c>
      <c r="L39" s="131">
        <v>46.5</v>
      </c>
      <c r="M39" s="131">
        <v>25.900000000000002</v>
      </c>
      <c r="N39" s="131">
        <v>59.29999999999999</v>
      </c>
      <c r="O39" s="131">
        <v>14.200000000000001</v>
      </c>
      <c r="P39" s="131">
        <v>1.4000000000000001</v>
      </c>
      <c r="Q39" s="131">
        <v>50.9</v>
      </c>
    </row>
    <row r="40" spans="2:17">
      <c r="B40" s="125" t="s">
        <v>31</v>
      </c>
      <c r="C40" s="132">
        <v>587471</v>
      </c>
      <c r="D40" s="132">
        <v>263450</v>
      </c>
      <c r="E40" s="132">
        <v>100331</v>
      </c>
      <c r="F40" s="132">
        <v>158032</v>
      </c>
      <c r="G40" s="132">
        <v>481816</v>
      </c>
      <c r="H40" s="132">
        <v>318920</v>
      </c>
      <c r="I40" s="132">
        <v>82280</v>
      </c>
      <c r="J40" s="132">
        <v>30300</v>
      </c>
      <c r="K40" s="132">
        <v>89166</v>
      </c>
      <c r="L40" s="132">
        <v>322245</v>
      </c>
      <c r="M40" s="132">
        <v>409479</v>
      </c>
      <c r="N40" s="132">
        <v>442971</v>
      </c>
      <c r="O40" s="132">
        <v>77213</v>
      </c>
      <c r="P40" s="132">
        <v>5950</v>
      </c>
      <c r="Q40" s="132">
        <v>203600</v>
      </c>
    </row>
    <row r="41" spans="2:17">
      <c r="B41" s="126" t="s">
        <v>32</v>
      </c>
      <c r="C41" s="140">
        <v>25000</v>
      </c>
      <c r="D41" s="140">
        <v>11600</v>
      </c>
      <c r="E41" s="140">
        <v>9000</v>
      </c>
      <c r="F41" s="140">
        <v>9200</v>
      </c>
      <c r="G41" s="140">
        <v>10100</v>
      </c>
      <c r="H41" s="140">
        <v>7200</v>
      </c>
      <c r="I41" s="140">
        <v>8100</v>
      </c>
      <c r="J41" s="140">
        <v>6400</v>
      </c>
      <c r="K41" s="140">
        <v>8100</v>
      </c>
      <c r="L41" s="140">
        <v>9600</v>
      </c>
      <c r="M41" s="140">
        <v>8900</v>
      </c>
      <c r="N41" s="140">
        <v>7600</v>
      </c>
      <c r="O41" s="140">
        <v>7200</v>
      </c>
      <c r="P41" s="140">
        <v>10000</v>
      </c>
      <c r="Q41" s="140">
        <v>8000</v>
      </c>
    </row>
    <row r="42" spans="2:17">
      <c r="B42" s="126" t="s">
        <v>33</v>
      </c>
      <c r="C42" s="142">
        <v>20800</v>
      </c>
      <c r="D42" s="140"/>
      <c r="E42" s="142"/>
      <c r="F42" s="142"/>
      <c r="G42" s="142"/>
      <c r="H42" s="142"/>
      <c r="I42" s="142"/>
      <c r="J42" s="142"/>
      <c r="K42" s="142"/>
      <c r="L42" s="142"/>
      <c r="M42" s="142"/>
      <c r="N42" s="143"/>
      <c r="O42" s="142"/>
      <c r="P42" s="142"/>
      <c r="Q42" s="142"/>
    </row>
    <row r="43" spans="2:17">
      <c r="B43" s="126" t="s">
        <v>34</v>
      </c>
      <c r="C43" s="140">
        <f>15000+3000</f>
        <v>18000</v>
      </c>
      <c r="D43" s="140">
        <v>10000</v>
      </c>
      <c r="E43" s="142"/>
      <c r="F43" s="142">
        <v>3000</v>
      </c>
      <c r="G43" s="142">
        <v>3000</v>
      </c>
      <c r="H43" s="142">
        <v>3000</v>
      </c>
      <c r="I43" s="142">
        <v>5000</v>
      </c>
      <c r="J43" s="142">
        <v>5000</v>
      </c>
      <c r="K43" s="142">
        <v>4000</v>
      </c>
      <c r="L43" s="142"/>
      <c r="M43" s="142">
        <v>3000</v>
      </c>
      <c r="N43" s="142">
        <v>3000</v>
      </c>
      <c r="O43" s="142"/>
      <c r="P43" s="142"/>
      <c r="Q43" s="142"/>
    </row>
    <row r="44" spans="2:17">
      <c r="B44" s="126" t="s">
        <v>35</v>
      </c>
      <c r="C44" s="140"/>
      <c r="D44" s="140">
        <v>40000</v>
      </c>
      <c r="E44" s="142"/>
      <c r="F44" s="142"/>
      <c r="G44" s="142"/>
      <c r="H44" s="142"/>
      <c r="I44" s="142"/>
      <c r="J44" s="142"/>
      <c r="K44" s="142"/>
      <c r="L44" s="142"/>
      <c r="M44" s="142"/>
      <c r="N44" s="142"/>
      <c r="O44" s="142"/>
      <c r="P44" s="142"/>
      <c r="Q44" s="142"/>
    </row>
    <row r="45" spans="2:17">
      <c r="B45" s="126" t="s">
        <v>36</v>
      </c>
      <c r="C45" s="170">
        <v>25000</v>
      </c>
      <c r="D45" s="140"/>
      <c r="E45" s="140">
        <v>3500</v>
      </c>
      <c r="F45" s="140">
        <v>3500</v>
      </c>
      <c r="G45" s="140">
        <v>3500</v>
      </c>
      <c r="H45" s="140">
        <v>3500</v>
      </c>
      <c r="I45" s="140"/>
      <c r="J45" s="142"/>
      <c r="K45" s="140">
        <v>6000</v>
      </c>
      <c r="L45" s="140">
        <v>1500</v>
      </c>
      <c r="M45" s="140"/>
      <c r="N45" s="140">
        <v>3500</v>
      </c>
      <c r="O45" s="140"/>
      <c r="P45" s="140"/>
      <c r="Q45" s="140"/>
    </row>
    <row r="46" spans="2:17">
      <c r="B46" s="126" t="s">
        <v>168</v>
      </c>
      <c r="C46" s="140"/>
      <c r="D46" s="140">
        <v>5000</v>
      </c>
      <c r="E46" s="142"/>
      <c r="F46" s="142"/>
      <c r="G46" s="142"/>
      <c r="H46" s="142"/>
      <c r="I46" s="142">
        <v>51000</v>
      </c>
      <c r="J46" s="142">
        <v>15000</v>
      </c>
      <c r="K46" s="142"/>
      <c r="L46" s="142"/>
      <c r="M46" s="142"/>
      <c r="N46" s="142"/>
      <c r="O46" s="142">
        <v>15000</v>
      </c>
      <c r="P46" s="142"/>
      <c r="Q46" s="142"/>
    </row>
    <row r="47" spans="2:17">
      <c r="B47" s="126" t="s">
        <v>38</v>
      </c>
      <c r="C47" s="140"/>
      <c r="D47" s="140"/>
      <c r="E47" s="142"/>
      <c r="F47" s="142"/>
      <c r="G47" s="142">
        <v>16500</v>
      </c>
      <c r="H47" s="142">
        <v>1566</v>
      </c>
      <c r="I47" s="142"/>
      <c r="J47" s="142"/>
      <c r="K47" s="142"/>
      <c r="L47" s="142"/>
      <c r="M47" s="142"/>
      <c r="N47" s="142"/>
      <c r="O47" s="142"/>
      <c r="P47" s="142"/>
      <c r="Q47" s="142"/>
    </row>
    <row r="48" spans="2:17">
      <c r="B48" s="126" t="s">
        <v>169</v>
      </c>
      <c r="C48" s="140"/>
      <c r="D48" s="140"/>
      <c r="E48" s="142"/>
      <c r="F48" s="142"/>
      <c r="G48" s="142"/>
      <c r="H48" s="142"/>
      <c r="I48" s="142"/>
      <c r="J48" s="142"/>
      <c r="K48" s="142"/>
      <c r="L48" s="142"/>
      <c r="M48" s="142"/>
      <c r="N48" s="143"/>
      <c r="O48" s="142"/>
      <c r="P48" s="142"/>
      <c r="Q48" s="142"/>
    </row>
    <row r="49" spans="2:17">
      <c r="B49" s="126" t="s">
        <v>170</v>
      </c>
      <c r="C49" s="140"/>
      <c r="D49" s="140"/>
      <c r="E49" s="142"/>
      <c r="F49" s="142"/>
      <c r="G49" s="142"/>
      <c r="H49" s="142"/>
      <c r="I49" s="142"/>
      <c r="J49" s="142"/>
      <c r="K49" s="142"/>
      <c r="L49" s="142">
        <v>1000</v>
      </c>
      <c r="M49" s="142"/>
      <c r="N49" s="143"/>
      <c r="O49" s="142"/>
      <c r="P49" s="142"/>
      <c r="Q49" s="142"/>
    </row>
    <row r="50" spans="2:17">
      <c r="B50" s="126" t="s">
        <v>40</v>
      </c>
      <c r="C50" s="170">
        <v>8000</v>
      </c>
      <c r="D50" s="140"/>
      <c r="E50" s="142"/>
      <c r="F50" s="142">
        <v>4500</v>
      </c>
      <c r="G50" s="142"/>
      <c r="H50" s="142"/>
      <c r="I50" s="142"/>
      <c r="J50" s="142"/>
      <c r="K50" s="142"/>
      <c r="L50" s="142"/>
      <c r="M50" s="142"/>
      <c r="N50" s="142"/>
      <c r="O50" s="142"/>
      <c r="P50" s="142"/>
      <c r="Q50" s="142"/>
    </row>
    <row r="51" spans="2:17">
      <c r="B51" s="126" t="s">
        <v>41</v>
      </c>
      <c r="C51" s="140"/>
      <c r="D51" s="140">
        <v>59725</v>
      </c>
      <c r="E51" s="142"/>
      <c r="F51" s="142"/>
      <c r="G51" s="142"/>
      <c r="H51" s="142"/>
      <c r="I51" s="142"/>
      <c r="J51" s="142"/>
      <c r="K51" s="142"/>
      <c r="L51" s="143"/>
      <c r="M51" s="142"/>
      <c r="N51" s="142"/>
      <c r="O51" s="142"/>
      <c r="P51" s="142"/>
      <c r="Q51" s="142"/>
    </row>
    <row r="52" spans="2:17">
      <c r="B52" s="126" t="s">
        <v>171</v>
      </c>
      <c r="C52" s="170">
        <v>6750</v>
      </c>
      <c r="D52" s="140">
        <v>4000</v>
      </c>
      <c r="E52" s="142"/>
      <c r="F52" s="142"/>
      <c r="G52" s="142">
        <v>4000</v>
      </c>
      <c r="H52" s="142"/>
      <c r="I52" s="142"/>
      <c r="J52" s="142"/>
      <c r="K52" s="142"/>
      <c r="L52" s="142"/>
      <c r="M52" s="142"/>
      <c r="N52" s="142"/>
      <c r="O52" s="142"/>
      <c r="P52" s="142"/>
      <c r="Q52" s="142"/>
    </row>
    <row r="53" spans="2:17">
      <c r="B53" s="126" t="s">
        <v>43</v>
      </c>
      <c r="C53" s="140">
        <v>50000</v>
      </c>
      <c r="D53" s="140"/>
      <c r="E53" s="142">
        <v>3000</v>
      </c>
      <c r="F53" s="141">
        <v>10000</v>
      </c>
      <c r="G53" s="142"/>
      <c r="H53" s="142"/>
      <c r="I53" s="142"/>
      <c r="J53" s="142"/>
      <c r="K53" s="142"/>
      <c r="L53" s="142">
        <v>1700</v>
      </c>
      <c r="M53" s="142"/>
      <c r="N53" s="142"/>
      <c r="O53" s="142"/>
      <c r="P53" s="142"/>
      <c r="Q53" s="142"/>
    </row>
    <row r="54" spans="2:17">
      <c r="B54" s="125" t="s">
        <v>44</v>
      </c>
      <c r="C54" s="132">
        <v>128800</v>
      </c>
      <c r="D54" s="132">
        <v>130325</v>
      </c>
      <c r="E54" s="132">
        <v>15500</v>
      </c>
      <c r="F54" s="132">
        <v>30200</v>
      </c>
      <c r="G54" s="132">
        <v>37100</v>
      </c>
      <c r="H54" s="132">
        <v>15266</v>
      </c>
      <c r="I54" s="132">
        <v>64100</v>
      </c>
      <c r="J54" s="132">
        <v>26400</v>
      </c>
      <c r="K54" s="132">
        <v>18100</v>
      </c>
      <c r="L54" s="132">
        <v>13800</v>
      </c>
      <c r="M54" s="132">
        <v>11900</v>
      </c>
      <c r="N54" s="132">
        <v>14100</v>
      </c>
      <c r="O54" s="132">
        <v>22200</v>
      </c>
      <c r="P54" s="132">
        <v>10000</v>
      </c>
      <c r="Q54" s="132">
        <v>8000</v>
      </c>
    </row>
    <row r="55" spans="2:17">
      <c r="B55" s="125" t="s">
        <v>45</v>
      </c>
      <c r="C55" s="132">
        <v>75000</v>
      </c>
      <c r="D55" s="132"/>
      <c r="E55" s="132"/>
      <c r="F55" s="132">
        <v>20000</v>
      </c>
      <c r="G55" s="132"/>
      <c r="H55" s="132"/>
      <c r="I55" s="132"/>
      <c r="J55" s="132"/>
      <c r="K55" s="132"/>
      <c r="L55" s="168">
        <v>51000</v>
      </c>
      <c r="M55" s="132"/>
      <c r="N55" s="132"/>
      <c r="O55" s="132"/>
      <c r="P55" s="132"/>
      <c r="Q55" s="132"/>
    </row>
    <row r="56" spans="2:17">
      <c r="B56" s="127" t="s">
        <v>46</v>
      </c>
      <c r="C56" s="144">
        <v>179067.75</v>
      </c>
      <c r="D56" s="145">
        <v>98443.75</v>
      </c>
      <c r="E56" s="145">
        <v>28957.75</v>
      </c>
      <c r="F56" s="145">
        <v>47058</v>
      </c>
      <c r="G56" s="144">
        <v>129729</v>
      </c>
      <c r="H56" s="144">
        <v>83546.5</v>
      </c>
      <c r="I56" s="144">
        <v>36595</v>
      </c>
      <c r="J56" s="144">
        <v>14175</v>
      </c>
      <c r="K56" s="144">
        <v>26816.5</v>
      </c>
      <c r="L56" s="144">
        <v>84011.25</v>
      </c>
      <c r="M56" s="145">
        <v>105344.75</v>
      </c>
      <c r="N56" s="144">
        <v>114267.75</v>
      </c>
      <c r="O56" s="145">
        <v>24853.25</v>
      </c>
      <c r="P56" s="145">
        <v>19937.5</v>
      </c>
      <c r="Q56" s="145">
        <v>52900</v>
      </c>
    </row>
  </sheetData>
  <mergeCells count="1">
    <mergeCell ref="E2:G2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96BE2-E0B6-8046-9E67-99853E51743C}">
  <dimension ref="A2:V74"/>
  <sheetViews>
    <sheetView workbookViewId="0">
      <selection activeCell="F20" sqref="F20:G20"/>
    </sheetView>
  </sheetViews>
  <sheetFormatPr baseColWidth="10" defaultColWidth="10.83203125" defaultRowHeight="16"/>
  <cols>
    <col min="1" max="1" width="5.1640625" style="10" bestFit="1" customWidth="1"/>
    <col min="2" max="2" width="27" style="10" bestFit="1" customWidth="1"/>
    <col min="3" max="3" width="19" style="10" bestFit="1" customWidth="1"/>
    <col min="4" max="4" width="10.5" style="10" bestFit="1" customWidth="1"/>
    <col min="5" max="6" width="10.1640625" style="10" bestFit="1" customWidth="1"/>
    <col min="7" max="7" width="10.83203125" style="10" bestFit="1"/>
    <col min="8" max="9" width="10.1640625" style="10" bestFit="1" customWidth="1"/>
    <col min="10" max="10" width="13.83203125" style="10" bestFit="1" customWidth="1"/>
    <col min="11" max="11" width="10.83203125" style="10" bestFit="1"/>
    <col min="12" max="12" width="10.5" style="10" bestFit="1" customWidth="1"/>
    <col min="13" max="13" width="10.1640625" style="10" bestFit="1" customWidth="1"/>
    <col min="14" max="15" width="9" style="10" bestFit="1" customWidth="1"/>
    <col min="16" max="16" width="11.1640625" style="10" bestFit="1" customWidth="1"/>
    <col min="17" max="17" width="13.5" style="10" bestFit="1" customWidth="1"/>
    <col min="18" max="18" width="11.33203125" style="10" bestFit="1" customWidth="1"/>
    <col min="19" max="19" width="15.33203125" style="10" customWidth="1"/>
    <col min="20" max="20" width="9.33203125" style="10" bestFit="1" customWidth="1"/>
    <col min="21" max="21" width="10.83203125" style="10"/>
    <col min="22" max="22" width="5.83203125" style="10" bestFit="1" customWidth="1"/>
    <col min="23" max="23" width="21.5" style="10" bestFit="1" customWidth="1"/>
    <col min="24" max="16384" width="10.83203125" style="10"/>
  </cols>
  <sheetData>
    <row r="2" spans="1:20" ht="21">
      <c r="B2" s="252" t="s">
        <v>172</v>
      </c>
      <c r="C2" s="252"/>
      <c r="D2" s="11" t="s">
        <v>173</v>
      </c>
      <c r="E2" s="11" t="s">
        <v>173</v>
      </c>
      <c r="F2" s="12" t="s">
        <v>174</v>
      </c>
      <c r="G2" s="13" t="s">
        <v>175</v>
      </c>
      <c r="H2" s="11" t="s">
        <v>173</v>
      </c>
      <c r="I2" s="14" t="s">
        <v>176</v>
      </c>
      <c r="J2" s="14" t="s">
        <v>176</v>
      </c>
      <c r="K2" s="11" t="s">
        <v>173</v>
      </c>
      <c r="L2" s="11" t="s">
        <v>173</v>
      </c>
      <c r="M2" s="15" t="s">
        <v>177</v>
      </c>
      <c r="N2" s="15" t="s">
        <v>177</v>
      </c>
      <c r="O2" s="14" t="s">
        <v>176</v>
      </c>
    </row>
    <row r="3" spans="1:20" ht="21">
      <c r="B3" s="16"/>
      <c r="C3" s="16"/>
      <c r="D3" s="11">
        <v>1</v>
      </c>
      <c r="E3" s="11">
        <v>2</v>
      </c>
      <c r="F3" s="12">
        <v>3</v>
      </c>
      <c r="G3" s="13">
        <v>4</v>
      </c>
      <c r="H3" s="11">
        <v>5</v>
      </c>
      <c r="I3" s="14">
        <v>6</v>
      </c>
      <c r="J3" s="14">
        <v>7</v>
      </c>
      <c r="K3" s="11">
        <v>8</v>
      </c>
      <c r="L3" s="11">
        <v>9</v>
      </c>
      <c r="M3" s="15">
        <v>11</v>
      </c>
      <c r="N3" s="15">
        <v>12</v>
      </c>
      <c r="O3" s="14">
        <v>13</v>
      </c>
      <c r="R3" s="10">
        <f>3*5</f>
        <v>15</v>
      </c>
    </row>
    <row r="4" spans="1:20" ht="22" thickBot="1">
      <c r="B4" s="16"/>
      <c r="C4" s="16"/>
      <c r="D4" s="11" t="s">
        <v>178</v>
      </c>
      <c r="E4" s="11" t="s">
        <v>179</v>
      </c>
      <c r="F4" s="12" t="s">
        <v>180</v>
      </c>
      <c r="G4" s="13" t="s">
        <v>181</v>
      </c>
      <c r="H4" s="11" t="s">
        <v>10</v>
      </c>
      <c r="I4" s="14" t="s">
        <v>182</v>
      </c>
      <c r="J4" s="14" t="s">
        <v>183</v>
      </c>
      <c r="K4" s="11" t="s">
        <v>184</v>
      </c>
      <c r="L4" s="11" t="s">
        <v>185</v>
      </c>
      <c r="M4" s="15" t="s">
        <v>186</v>
      </c>
      <c r="N4" s="15" t="s">
        <v>187</v>
      </c>
      <c r="O4" s="14" t="s">
        <v>188</v>
      </c>
      <c r="R4" s="10" t="e">
        <f>R3-(R6+#REF!+#REF!+R9+#REF!+#REF!+R11)</f>
        <v>#REF!</v>
      </c>
    </row>
    <row r="5" spans="1:20" ht="17" thickBot="1">
      <c r="C5" s="17" t="s">
        <v>189</v>
      </c>
      <c r="D5" s="11" t="s">
        <v>190</v>
      </c>
      <c r="E5" s="11" t="s">
        <v>191</v>
      </c>
      <c r="F5" s="12" t="s">
        <v>192</v>
      </c>
      <c r="G5" s="13" t="s">
        <v>193</v>
      </c>
      <c r="H5" s="11" t="s">
        <v>194</v>
      </c>
      <c r="I5" s="14" t="s">
        <v>195</v>
      </c>
      <c r="J5" s="14" t="s">
        <v>196</v>
      </c>
      <c r="K5" s="11" t="s">
        <v>197</v>
      </c>
      <c r="L5" s="11" t="s">
        <v>198</v>
      </c>
      <c r="M5" s="15" t="s">
        <v>199</v>
      </c>
      <c r="N5" s="15" t="s">
        <v>200</v>
      </c>
      <c r="O5" s="14" t="s">
        <v>201</v>
      </c>
      <c r="P5" s="18" t="s">
        <v>202</v>
      </c>
      <c r="R5" s="19" t="s">
        <v>203</v>
      </c>
      <c r="S5" s="20" t="s">
        <v>204</v>
      </c>
    </row>
    <row r="6" spans="1:20">
      <c r="A6" s="21" t="s">
        <v>205</v>
      </c>
      <c r="B6" s="21" t="s">
        <v>206</v>
      </c>
      <c r="C6" s="22" t="s">
        <v>207</v>
      </c>
      <c r="D6" s="23">
        <v>4</v>
      </c>
      <c r="E6" s="24">
        <v>3</v>
      </c>
      <c r="F6" s="25">
        <v>3</v>
      </c>
      <c r="G6" s="25">
        <v>2</v>
      </c>
      <c r="H6" s="24">
        <v>3</v>
      </c>
      <c r="I6" s="25">
        <v>3</v>
      </c>
      <c r="J6" s="25">
        <v>3</v>
      </c>
      <c r="K6" s="24">
        <v>4</v>
      </c>
      <c r="L6" s="24">
        <v>2</v>
      </c>
      <c r="M6" s="25">
        <v>3</v>
      </c>
      <c r="N6" s="25">
        <v>1</v>
      </c>
      <c r="O6" s="26">
        <v>1</v>
      </c>
      <c r="P6" s="27">
        <f>SUM(D6:O6) +R6+S6</f>
        <v>37</v>
      </c>
      <c r="R6" s="28">
        <v>5</v>
      </c>
      <c r="S6" s="29"/>
    </row>
    <row r="7" spans="1:20">
      <c r="A7" s="21" t="s">
        <v>208</v>
      </c>
      <c r="B7" s="21" t="s">
        <v>209</v>
      </c>
      <c r="C7" s="30" t="s">
        <v>210</v>
      </c>
      <c r="D7" s="31">
        <v>2</v>
      </c>
      <c r="E7" s="17">
        <v>2</v>
      </c>
      <c r="F7" s="17">
        <v>2</v>
      </c>
      <c r="G7" s="17">
        <v>2</v>
      </c>
      <c r="H7" s="17">
        <v>3</v>
      </c>
      <c r="I7" s="17">
        <v>3</v>
      </c>
      <c r="J7" s="17">
        <v>3</v>
      </c>
      <c r="K7" s="17">
        <v>2</v>
      </c>
      <c r="L7" s="17">
        <v>2</v>
      </c>
      <c r="M7" s="32">
        <v>2</v>
      </c>
      <c r="N7" s="33">
        <v>1</v>
      </c>
      <c r="O7" s="29">
        <v>1</v>
      </c>
      <c r="P7" s="34">
        <f t="shared" ref="P7:P12" si="0">SUM(D7:O7)+R7+S7</f>
        <v>25</v>
      </c>
      <c r="R7" s="31"/>
      <c r="S7" s="29"/>
    </row>
    <row r="8" spans="1:20">
      <c r="A8" s="21" t="s">
        <v>211</v>
      </c>
      <c r="B8" s="21" t="s">
        <v>212</v>
      </c>
      <c r="C8" s="30" t="s">
        <v>210</v>
      </c>
      <c r="D8" s="31"/>
      <c r="E8" s="17">
        <v>2</v>
      </c>
      <c r="F8" s="17">
        <v>2</v>
      </c>
      <c r="G8" s="17">
        <v>2</v>
      </c>
      <c r="H8" s="17">
        <v>2</v>
      </c>
      <c r="I8" s="17"/>
      <c r="J8" s="17"/>
      <c r="K8" s="17"/>
      <c r="L8" s="17"/>
      <c r="M8" s="32">
        <v>2</v>
      </c>
      <c r="N8" s="33">
        <v>1</v>
      </c>
      <c r="O8" s="29"/>
      <c r="P8" s="34">
        <f t="shared" si="0"/>
        <v>11</v>
      </c>
      <c r="R8" s="31"/>
      <c r="S8" s="29"/>
    </row>
    <row r="9" spans="1:20">
      <c r="A9" s="21" t="s">
        <v>63</v>
      </c>
      <c r="B9" s="21" t="s">
        <v>212</v>
      </c>
      <c r="C9" s="35" t="s">
        <v>213</v>
      </c>
      <c r="D9" s="31"/>
      <c r="E9" s="17">
        <v>2</v>
      </c>
      <c r="F9" s="17">
        <v>2</v>
      </c>
      <c r="G9" s="17">
        <v>2</v>
      </c>
      <c r="H9" s="17">
        <v>2</v>
      </c>
      <c r="I9" s="32">
        <v>3</v>
      </c>
      <c r="J9" s="33">
        <v>3</v>
      </c>
      <c r="K9" s="17"/>
      <c r="L9" s="17"/>
      <c r="M9" s="17"/>
      <c r="N9" s="17"/>
      <c r="O9" s="36">
        <v>1</v>
      </c>
      <c r="P9" s="34">
        <f t="shared" si="0"/>
        <v>16</v>
      </c>
      <c r="R9" s="37">
        <v>1</v>
      </c>
      <c r="S9" s="29"/>
    </row>
    <row r="10" spans="1:20">
      <c r="A10" s="21" t="s">
        <v>214</v>
      </c>
      <c r="B10" s="21" t="s">
        <v>212</v>
      </c>
      <c r="C10" s="22" t="s">
        <v>215</v>
      </c>
      <c r="D10" s="38">
        <v>2</v>
      </c>
      <c r="E10" s="32">
        <v>2</v>
      </c>
      <c r="F10" s="17">
        <v>2</v>
      </c>
      <c r="G10" s="17">
        <v>2</v>
      </c>
      <c r="H10" s="32">
        <v>3</v>
      </c>
      <c r="I10" s="17"/>
      <c r="J10" s="17"/>
      <c r="K10" s="33">
        <v>2</v>
      </c>
      <c r="L10" s="32">
        <v>2</v>
      </c>
      <c r="M10" s="17"/>
      <c r="N10" s="17"/>
      <c r="O10" s="29"/>
      <c r="P10" s="34">
        <f t="shared" si="0"/>
        <v>15</v>
      </c>
      <c r="R10" s="31"/>
      <c r="S10" s="29"/>
    </row>
    <row r="11" spans="1:20">
      <c r="A11" s="21" t="s">
        <v>69</v>
      </c>
      <c r="B11" s="21" t="s">
        <v>216</v>
      </c>
      <c r="C11" s="41" t="s">
        <v>217</v>
      </c>
      <c r="D11" s="31">
        <v>4</v>
      </c>
      <c r="E11" s="17">
        <v>3</v>
      </c>
      <c r="F11" s="17">
        <v>3</v>
      </c>
      <c r="G11" s="17">
        <v>2</v>
      </c>
      <c r="H11" s="42">
        <v>3</v>
      </c>
      <c r="I11" s="17">
        <v>3</v>
      </c>
      <c r="J11" s="17">
        <v>3</v>
      </c>
      <c r="K11" s="17">
        <v>4</v>
      </c>
      <c r="L11" s="40">
        <v>2</v>
      </c>
      <c r="M11" s="17">
        <v>3</v>
      </c>
      <c r="N11" s="17">
        <v>1</v>
      </c>
      <c r="O11" s="29">
        <v>1</v>
      </c>
      <c r="P11" s="34">
        <f t="shared" si="0"/>
        <v>39</v>
      </c>
      <c r="R11" s="37">
        <v>5</v>
      </c>
      <c r="S11" s="39">
        <v>2</v>
      </c>
    </row>
    <row r="12" spans="1:20" ht="17" thickBot="1">
      <c r="A12" s="21" t="s">
        <v>70</v>
      </c>
      <c r="B12" s="21" t="s">
        <v>218</v>
      </c>
      <c r="C12" s="22" t="s">
        <v>219</v>
      </c>
      <c r="D12" s="43">
        <v>4</v>
      </c>
      <c r="E12" s="44">
        <v>3</v>
      </c>
      <c r="F12" s="45">
        <v>3</v>
      </c>
      <c r="G12" s="45">
        <v>2</v>
      </c>
      <c r="H12" s="44">
        <v>3</v>
      </c>
      <c r="I12" s="45">
        <v>3</v>
      </c>
      <c r="J12" s="45">
        <v>3</v>
      </c>
      <c r="K12" s="44">
        <v>4</v>
      </c>
      <c r="L12" s="44">
        <v>2</v>
      </c>
      <c r="M12" s="45">
        <v>3</v>
      </c>
      <c r="N12" s="45">
        <v>1</v>
      </c>
      <c r="O12" s="46">
        <v>1</v>
      </c>
      <c r="P12" s="34">
        <f t="shared" si="0"/>
        <v>32</v>
      </c>
      <c r="R12" s="47"/>
      <c r="S12" s="48"/>
    </row>
    <row r="13" spans="1:20">
      <c r="C13" s="49" t="s">
        <v>220</v>
      </c>
      <c r="D13" s="50">
        <f>SUM(D6:D12)-(D6+D10+D12)</f>
        <v>6</v>
      </c>
      <c r="E13" s="50">
        <f>SUM(E6:E12) -(E6+E10+E12)</f>
        <v>9</v>
      </c>
      <c r="F13" s="50">
        <f>SUM(F6:F12)</f>
        <v>17</v>
      </c>
      <c r="G13" s="50">
        <f>SUM(G6:G12)</f>
        <v>14</v>
      </c>
      <c r="H13" s="50">
        <f t="shared" ref="H13" si="1">SUM(H6:H12)-(H6+H10+H12)</f>
        <v>10</v>
      </c>
      <c r="I13" s="50">
        <f t="shared" ref="I13" si="2">SUM(I6:I12) -(I6+I10+I12)</f>
        <v>9</v>
      </c>
      <c r="J13" s="50">
        <f t="shared" ref="J13:K13" si="3">SUM(J6:J12)</f>
        <v>15</v>
      </c>
      <c r="K13" s="50">
        <f t="shared" si="3"/>
        <v>16</v>
      </c>
      <c r="L13" s="50">
        <f t="shared" ref="L13" si="4">SUM(L6:L12)-(L6+L10+L12)</f>
        <v>4</v>
      </c>
      <c r="M13" s="50">
        <f t="shared" ref="M13" si="5">SUM(M6:M12) -(M6+M10+M12)</f>
        <v>7</v>
      </c>
      <c r="N13" s="50">
        <f t="shared" ref="N13:O13" si="6">SUM(N6:N12)</f>
        <v>5</v>
      </c>
      <c r="O13" s="50">
        <f t="shared" si="6"/>
        <v>5</v>
      </c>
    </row>
    <row r="14" spans="1:20" ht="17" thickBot="1">
      <c r="B14" s="51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</row>
    <row r="15" spans="1:20" ht="17" thickBot="1">
      <c r="B15" s="51"/>
      <c r="C15" s="52" t="s">
        <v>221</v>
      </c>
      <c r="D15" s="53">
        <f>((D7+D8)*C22)+(D9*C19)+(D11*C23)</f>
        <v>5200</v>
      </c>
      <c r="E15" s="53">
        <f t="shared" ref="E15:O15" si="7">((E7+E8)*D22)+(E9*D19)+(E11*D23)</f>
        <v>0</v>
      </c>
      <c r="F15" s="53">
        <f t="shared" si="7"/>
        <v>0</v>
      </c>
      <c r="G15" s="123" t="e">
        <f>((G7+G8)*C23)+(G9*F19)+(G11*C22)</f>
        <v>#VALUE!</v>
      </c>
      <c r="H15" s="53">
        <f t="shared" si="7"/>
        <v>0</v>
      </c>
      <c r="I15" s="53">
        <f t="shared" si="7"/>
        <v>0</v>
      </c>
      <c r="J15" s="53">
        <f t="shared" si="7"/>
        <v>0</v>
      </c>
      <c r="K15" s="53">
        <f t="shared" si="7"/>
        <v>0</v>
      </c>
      <c r="L15" s="53">
        <f t="shared" si="7"/>
        <v>0</v>
      </c>
      <c r="M15" s="53">
        <f t="shared" si="7"/>
        <v>0</v>
      </c>
      <c r="N15" s="53">
        <f t="shared" si="7"/>
        <v>0</v>
      </c>
      <c r="O15" s="53">
        <f t="shared" si="7"/>
        <v>0</v>
      </c>
      <c r="P15" s="54" t="e">
        <f>SUM(D15:O15)</f>
        <v>#VALUE!</v>
      </c>
      <c r="R15" s="55">
        <f>((R6+R10+R12)*C18)+(R9*C19)+((R7+R8)*C22)+(R11*C23)</f>
        <v>9300</v>
      </c>
      <c r="S15" s="56">
        <f>(3*C24)+(3*C25)</f>
        <v>21000</v>
      </c>
      <c r="T15" s="54">
        <f>SUM(R15:S15)</f>
        <v>30300</v>
      </c>
    </row>
    <row r="16" spans="1:20"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8"/>
      <c r="R16" s="59"/>
      <c r="S16" s="59"/>
      <c r="T16" s="60"/>
    </row>
    <row r="17" spans="1:22">
      <c r="B17" s="49" t="s">
        <v>222</v>
      </c>
      <c r="T17" s="61"/>
    </row>
    <row r="18" spans="1:22">
      <c r="B18" s="11" t="s">
        <v>223</v>
      </c>
      <c r="C18" s="62">
        <v>800</v>
      </c>
      <c r="F18" s="253" t="s">
        <v>224</v>
      </c>
      <c r="G18" s="253"/>
      <c r="O18" s="63"/>
      <c r="Q18" s="63"/>
    </row>
    <row r="19" spans="1:22">
      <c r="B19" s="14" t="s">
        <v>225</v>
      </c>
      <c r="C19" s="62">
        <v>800</v>
      </c>
      <c r="F19" s="254" t="s">
        <v>226</v>
      </c>
      <c r="G19" s="254"/>
      <c r="O19" s="63"/>
      <c r="Q19" s="63"/>
    </row>
    <row r="20" spans="1:22">
      <c r="B20" s="12" t="s">
        <v>227</v>
      </c>
      <c r="C20" s="62">
        <v>900</v>
      </c>
      <c r="F20" s="255" t="s">
        <v>228</v>
      </c>
      <c r="G20" s="255"/>
      <c r="O20" s="63"/>
      <c r="Q20" s="63"/>
    </row>
    <row r="21" spans="1:22">
      <c r="B21" s="13" t="s">
        <v>229</v>
      </c>
      <c r="C21" s="62">
        <v>900</v>
      </c>
      <c r="M21" s="64"/>
      <c r="O21" s="63"/>
    </row>
    <row r="22" spans="1:22">
      <c r="B22" s="15" t="s">
        <v>230</v>
      </c>
      <c r="C22" s="62">
        <v>800</v>
      </c>
    </row>
    <row r="23" spans="1:22">
      <c r="B23" s="65" t="s">
        <v>231</v>
      </c>
      <c r="C23" s="62">
        <v>900</v>
      </c>
    </row>
    <row r="24" spans="1:22">
      <c r="B24" s="66" t="s">
        <v>232</v>
      </c>
      <c r="C24" s="62">
        <v>4000</v>
      </c>
    </row>
    <row r="25" spans="1:22">
      <c r="B25" s="67" t="s">
        <v>233</v>
      </c>
      <c r="C25" s="62">
        <v>3000</v>
      </c>
    </row>
    <row r="27" spans="1:22" ht="22" thickBot="1">
      <c r="B27" s="252" t="s">
        <v>234</v>
      </c>
      <c r="C27" s="252"/>
    </row>
    <row r="28" spans="1:22">
      <c r="E28" s="240" t="s">
        <v>235</v>
      </c>
      <c r="F28" s="240"/>
      <c r="G28" s="240"/>
      <c r="H28" s="241"/>
      <c r="I28" s="232" t="s">
        <v>236</v>
      </c>
      <c r="J28" s="232"/>
      <c r="K28" s="232"/>
      <c r="L28" s="232"/>
      <c r="P28" s="233" t="s">
        <v>237</v>
      </c>
      <c r="Q28" s="234"/>
      <c r="R28" s="235"/>
    </row>
    <row r="29" spans="1:22" ht="17" thickBot="1">
      <c r="C29" s="17"/>
      <c r="E29" s="240"/>
      <c r="F29" s="240"/>
      <c r="G29" s="240"/>
      <c r="H29" s="241"/>
      <c r="I29" s="232"/>
      <c r="J29" s="232"/>
      <c r="K29" s="232"/>
      <c r="L29" s="232"/>
      <c r="M29" s="232" t="s">
        <v>238</v>
      </c>
      <c r="N29" s="232" t="s">
        <v>239</v>
      </c>
      <c r="P29" s="236"/>
      <c r="Q29" s="237"/>
      <c r="R29" s="238"/>
      <c r="V29" s="68"/>
    </row>
    <row r="30" spans="1:22" ht="50" customHeight="1" thickBot="1">
      <c r="C30" s="17" t="s">
        <v>189</v>
      </c>
      <c r="D30" s="68" t="s">
        <v>240</v>
      </c>
      <c r="E30" s="68" t="s">
        <v>241</v>
      </c>
      <c r="F30" s="68" t="s">
        <v>242</v>
      </c>
      <c r="G30" s="68" t="s">
        <v>243</v>
      </c>
      <c r="H30" s="69" t="s">
        <v>12</v>
      </c>
      <c r="I30" s="68" t="s">
        <v>241</v>
      </c>
      <c r="J30" s="68" t="s">
        <v>242</v>
      </c>
      <c r="K30" s="68" t="s">
        <v>243</v>
      </c>
      <c r="L30" s="68" t="s">
        <v>12</v>
      </c>
      <c r="M30" s="232"/>
      <c r="N30" s="232"/>
      <c r="P30" s="70" t="s">
        <v>244</v>
      </c>
      <c r="Q30" s="71" t="s">
        <v>245</v>
      </c>
      <c r="R30" s="72" t="s">
        <v>246</v>
      </c>
    </row>
    <row r="31" spans="1:22">
      <c r="A31" s="73" t="s">
        <v>205</v>
      </c>
      <c r="B31" s="74" t="s">
        <v>206</v>
      </c>
      <c r="C31" s="75" t="s">
        <v>247</v>
      </c>
      <c r="D31" s="76" t="s">
        <v>248</v>
      </c>
      <c r="E31" s="77">
        <v>100</v>
      </c>
      <c r="F31" s="78">
        <v>0</v>
      </c>
      <c r="G31" s="78">
        <f>E31*G52</f>
        <v>6000</v>
      </c>
      <c r="H31" s="79">
        <f>F31+G31</f>
        <v>6000</v>
      </c>
      <c r="I31" s="68">
        <f>P6</f>
        <v>37</v>
      </c>
      <c r="J31" s="80">
        <v>0</v>
      </c>
      <c r="K31" s="80">
        <f>I31*G52</f>
        <v>2220</v>
      </c>
      <c r="L31" s="80">
        <f>J31+K31</f>
        <v>2220</v>
      </c>
      <c r="M31" s="81">
        <f>H31+L31</f>
        <v>8220</v>
      </c>
      <c r="N31" s="10">
        <f>E31+I31</f>
        <v>137</v>
      </c>
      <c r="P31" s="82"/>
      <c r="Q31" s="77"/>
      <c r="R31" s="83"/>
    </row>
    <row r="32" spans="1:22">
      <c r="A32" s="84" t="s">
        <v>208</v>
      </c>
      <c r="B32" s="85" t="s">
        <v>209</v>
      </c>
      <c r="C32" s="86" t="s">
        <v>210</v>
      </c>
      <c r="D32" s="87" t="s">
        <v>249</v>
      </c>
      <c r="E32" s="68">
        <v>25</v>
      </c>
      <c r="F32" s="80">
        <v>0</v>
      </c>
      <c r="G32" s="80">
        <f>E32*G53</f>
        <v>1125</v>
      </c>
      <c r="H32" s="88">
        <f>F32+G32</f>
        <v>1125</v>
      </c>
      <c r="I32" s="68">
        <f>P7</f>
        <v>25</v>
      </c>
      <c r="J32" s="80">
        <v>0</v>
      </c>
      <c r="K32" s="80">
        <f>I32*G53</f>
        <v>1125</v>
      </c>
      <c r="L32" s="80">
        <f>J32+K32</f>
        <v>1125</v>
      </c>
      <c r="M32" s="81">
        <f>H32+L32</f>
        <v>2250</v>
      </c>
      <c r="N32" s="10">
        <f>E32+I32</f>
        <v>50</v>
      </c>
      <c r="P32" s="89"/>
      <c r="Q32" s="68"/>
      <c r="R32" s="69"/>
    </row>
    <row r="33" spans="1:19">
      <c r="A33" s="84" t="s">
        <v>57</v>
      </c>
      <c r="B33" s="85" t="s">
        <v>209</v>
      </c>
      <c r="C33" s="90" t="s">
        <v>213</v>
      </c>
      <c r="D33" s="87" t="s">
        <v>250</v>
      </c>
      <c r="E33" s="68">
        <v>50</v>
      </c>
      <c r="F33" s="80">
        <v>0</v>
      </c>
      <c r="G33" s="80">
        <f>E33*G53</f>
        <v>2250</v>
      </c>
      <c r="H33" s="88">
        <f t="shared" ref="H33:H47" si="8">F33+G33</f>
        <v>2250</v>
      </c>
      <c r="I33" s="68" t="e">
        <f>#REF!</f>
        <v>#REF!</v>
      </c>
      <c r="J33" s="80">
        <v>0</v>
      </c>
      <c r="K33" s="80" t="e">
        <f>I33*G53</f>
        <v>#REF!</v>
      </c>
      <c r="L33" s="80" t="e">
        <f t="shared" ref="L33:L47" si="9">J33+K33</f>
        <v>#REF!</v>
      </c>
      <c r="M33" s="81" t="e">
        <f>H33+L33</f>
        <v>#REF!</v>
      </c>
      <c r="N33" s="10" t="e">
        <f>E33+I33</f>
        <v>#REF!</v>
      </c>
      <c r="P33" s="89"/>
      <c r="Q33" s="68"/>
      <c r="R33" s="69"/>
    </row>
    <row r="34" spans="1:19">
      <c r="A34" s="84" t="s">
        <v>251</v>
      </c>
      <c r="B34" s="85" t="s">
        <v>212</v>
      </c>
      <c r="C34" s="90" t="s">
        <v>213</v>
      </c>
      <c r="D34" s="87" t="s">
        <v>250</v>
      </c>
      <c r="E34" s="68">
        <v>50</v>
      </c>
      <c r="F34" s="80">
        <v>0</v>
      </c>
      <c r="G34" s="80">
        <f>E34*G54</f>
        <v>1500</v>
      </c>
      <c r="H34" s="88">
        <f t="shared" si="8"/>
        <v>1500</v>
      </c>
      <c r="I34" s="68" t="e">
        <f>#REF!</f>
        <v>#REF!</v>
      </c>
      <c r="J34" s="80">
        <v>0</v>
      </c>
      <c r="K34" s="80" t="e">
        <f>I34*G54</f>
        <v>#REF!</v>
      </c>
      <c r="L34" s="80" t="e">
        <f t="shared" si="9"/>
        <v>#REF!</v>
      </c>
      <c r="M34" s="81" t="e">
        <f t="shared" ref="M34:M47" si="10">H34+L34</f>
        <v>#REF!</v>
      </c>
      <c r="N34" s="10" t="e">
        <f t="shared" ref="N34:N47" si="11">E34+I34</f>
        <v>#REF!</v>
      </c>
      <c r="P34" s="89"/>
      <c r="Q34" s="68"/>
      <c r="R34" s="69"/>
    </row>
    <row r="35" spans="1:19">
      <c r="A35" s="84" t="s">
        <v>252</v>
      </c>
      <c r="B35" s="85" t="s">
        <v>209</v>
      </c>
      <c r="C35" s="91" t="s">
        <v>215</v>
      </c>
      <c r="D35" s="87" t="s">
        <v>253</v>
      </c>
      <c r="E35" s="68">
        <v>50</v>
      </c>
      <c r="F35" s="80">
        <v>0</v>
      </c>
      <c r="G35" s="80">
        <f>E35*G53</f>
        <v>2250</v>
      </c>
      <c r="H35" s="88">
        <f t="shared" si="8"/>
        <v>2250</v>
      </c>
      <c r="I35" s="68" t="e">
        <f>#REF!</f>
        <v>#REF!</v>
      </c>
      <c r="J35" s="80">
        <v>0</v>
      </c>
      <c r="K35" s="80" t="e">
        <f>I35*G53</f>
        <v>#REF!</v>
      </c>
      <c r="L35" s="80" t="e">
        <f t="shared" si="9"/>
        <v>#REF!</v>
      </c>
      <c r="M35" s="81" t="e">
        <f t="shared" si="10"/>
        <v>#REF!</v>
      </c>
      <c r="N35" s="10" t="e">
        <f t="shared" si="11"/>
        <v>#REF!</v>
      </c>
      <c r="P35" s="89"/>
      <c r="Q35" s="68"/>
      <c r="R35" s="69"/>
    </row>
    <row r="36" spans="1:19">
      <c r="A36" s="84" t="s">
        <v>60</v>
      </c>
      <c r="B36" s="85" t="s">
        <v>212</v>
      </c>
      <c r="C36" s="86" t="s">
        <v>210</v>
      </c>
      <c r="D36" s="87" t="s">
        <v>249</v>
      </c>
      <c r="E36" s="68">
        <v>20</v>
      </c>
      <c r="F36" s="80">
        <v>0</v>
      </c>
      <c r="G36" s="80">
        <f>E36*G54</f>
        <v>600</v>
      </c>
      <c r="H36" s="88">
        <f t="shared" si="8"/>
        <v>600</v>
      </c>
      <c r="I36" s="68" t="e">
        <f>#REF!</f>
        <v>#REF!</v>
      </c>
      <c r="J36" s="80">
        <v>0</v>
      </c>
      <c r="K36" s="80" t="e">
        <f>I36*G54</f>
        <v>#REF!</v>
      </c>
      <c r="L36" s="80" t="e">
        <f t="shared" si="9"/>
        <v>#REF!</v>
      </c>
      <c r="M36" s="81" t="e">
        <f t="shared" si="10"/>
        <v>#REF!</v>
      </c>
      <c r="N36" s="10" t="e">
        <f t="shared" si="11"/>
        <v>#REF!</v>
      </c>
      <c r="P36" s="89"/>
      <c r="Q36" s="68"/>
      <c r="R36" s="69"/>
    </row>
    <row r="37" spans="1:19">
      <c r="A37" s="84" t="s">
        <v>61</v>
      </c>
      <c r="B37" s="85" t="s">
        <v>212</v>
      </c>
      <c r="C37" s="90" t="s">
        <v>213</v>
      </c>
      <c r="D37" s="87" t="s">
        <v>250</v>
      </c>
      <c r="E37" s="68">
        <v>20</v>
      </c>
      <c r="F37" s="80">
        <v>0</v>
      </c>
      <c r="G37" s="80">
        <f>E37*G54</f>
        <v>600</v>
      </c>
      <c r="H37" s="88">
        <f t="shared" si="8"/>
        <v>600</v>
      </c>
      <c r="I37" s="68" t="e">
        <f>#REF!</f>
        <v>#REF!</v>
      </c>
      <c r="J37" s="80">
        <v>0</v>
      </c>
      <c r="K37" s="80" t="e">
        <f>I37*G54</f>
        <v>#REF!</v>
      </c>
      <c r="L37" s="80" t="e">
        <f t="shared" si="9"/>
        <v>#REF!</v>
      </c>
      <c r="M37" s="81" t="e">
        <f t="shared" si="10"/>
        <v>#REF!</v>
      </c>
      <c r="N37" s="10" t="e">
        <f t="shared" si="11"/>
        <v>#REF!</v>
      </c>
      <c r="P37" s="89"/>
      <c r="Q37" s="68"/>
      <c r="R37" s="69"/>
    </row>
    <row r="38" spans="1:19">
      <c r="A38" s="84" t="s">
        <v>254</v>
      </c>
      <c r="B38" s="85" t="s">
        <v>212</v>
      </c>
      <c r="C38" s="91" t="s">
        <v>215</v>
      </c>
      <c r="D38" s="87" t="s">
        <v>253</v>
      </c>
      <c r="E38" s="68">
        <v>20</v>
      </c>
      <c r="F38" s="80">
        <v>0</v>
      </c>
      <c r="G38" s="80">
        <f>E38*G54</f>
        <v>600</v>
      </c>
      <c r="H38" s="88">
        <f t="shared" si="8"/>
        <v>600</v>
      </c>
      <c r="I38" s="68" t="e">
        <f>#REF!</f>
        <v>#REF!</v>
      </c>
      <c r="J38" s="80">
        <v>0</v>
      </c>
      <c r="K38" s="80" t="e">
        <f>I38*G54</f>
        <v>#REF!</v>
      </c>
      <c r="L38" s="80" t="e">
        <f t="shared" si="9"/>
        <v>#REF!</v>
      </c>
      <c r="M38" s="81" t="e">
        <f t="shared" si="10"/>
        <v>#REF!</v>
      </c>
      <c r="N38" s="10" t="e">
        <f t="shared" si="11"/>
        <v>#REF!</v>
      </c>
      <c r="P38" s="89"/>
      <c r="Q38" s="68"/>
      <c r="R38" s="69"/>
    </row>
    <row r="39" spans="1:19">
      <c r="A39" s="84" t="s">
        <v>211</v>
      </c>
      <c r="B39" s="85" t="s">
        <v>212</v>
      </c>
      <c r="C39" s="86" t="s">
        <v>210</v>
      </c>
      <c r="D39" s="87" t="s">
        <v>249</v>
      </c>
      <c r="E39" s="68">
        <v>20</v>
      </c>
      <c r="F39" s="80">
        <v>0</v>
      </c>
      <c r="G39" s="80">
        <f>E39*G54</f>
        <v>600</v>
      </c>
      <c r="H39" s="88">
        <f t="shared" si="8"/>
        <v>600</v>
      </c>
      <c r="I39" s="68">
        <f>P8</f>
        <v>11</v>
      </c>
      <c r="J39" s="80">
        <v>0</v>
      </c>
      <c r="K39" s="80">
        <f>I39*G54</f>
        <v>330</v>
      </c>
      <c r="L39" s="80">
        <f t="shared" si="9"/>
        <v>330</v>
      </c>
      <c r="M39" s="81">
        <f t="shared" si="10"/>
        <v>930</v>
      </c>
      <c r="N39" s="10">
        <f t="shared" si="11"/>
        <v>31</v>
      </c>
      <c r="P39" s="89"/>
      <c r="Q39" s="68"/>
      <c r="R39" s="69"/>
    </row>
    <row r="40" spans="1:19">
      <c r="A40" s="84" t="s">
        <v>63</v>
      </c>
      <c r="B40" s="85" t="s">
        <v>212</v>
      </c>
      <c r="C40" s="90" t="s">
        <v>213</v>
      </c>
      <c r="D40" s="87" t="s">
        <v>250</v>
      </c>
      <c r="E40" s="68">
        <v>20</v>
      </c>
      <c r="F40" s="80">
        <v>0</v>
      </c>
      <c r="G40" s="80">
        <f>E40*G54</f>
        <v>600</v>
      </c>
      <c r="H40" s="88">
        <f t="shared" si="8"/>
        <v>600</v>
      </c>
      <c r="I40" s="68">
        <f>P9</f>
        <v>16</v>
      </c>
      <c r="J40" s="80">
        <v>0</v>
      </c>
      <c r="K40" s="80">
        <f>I40*G54</f>
        <v>480</v>
      </c>
      <c r="L40" s="80">
        <f t="shared" si="9"/>
        <v>480</v>
      </c>
      <c r="M40" s="81">
        <f t="shared" si="10"/>
        <v>1080</v>
      </c>
      <c r="N40" s="10">
        <f t="shared" si="11"/>
        <v>36</v>
      </c>
      <c r="P40" s="89"/>
      <c r="Q40" s="68"/>
      <c r="R40" s="69"/>
    </row>
    <row r="41" spans="1:19">
      <c r="A41" s="84" t="s">
        <v>214</v>
      </c>
      <c r="B41" s="85" t="s">
        <v>212</v>
      </c>
      <c r="C41" s="91" t="s">
        <v>215</v>
      </c>
      <c r="D41" s="87" t="s">
        <v>253</v>
      </c>
      <c r="E41" s="68">
        <v>20</v>
      </c>
      <c r="F41" s="80">
        <v>0</v>
      </c>
      <c r="G41" s="80">
        <f>E41*G54</f>
        <v>600</v>
      </c>
      <c r="H41" s="88">
        <f t="shared" si="8"/>
        <v>600</v>
      </c>
      <c r="I41" s="68">
        <f>P10</f>
        <v>15</v>
      </c>
      <c r="J41" s="80">
        <v>0</v>
      </c>
      <c r="K41" s="80">
        <f>I41*G54</f>
        <v>450</v>
      </c>
      <c r="L41" s="80">
        <f t="shared" si="9"/>
        <v>450</v>
      </c>
      <c r="M41" s="81">
        <f t="shared" si="10"/>
        <v>1050</v>
      </c>
      <c r="N41" s="10">
        <f t="shared" si="11"/>
        <v>35</v>
      </c>
      <c r="P41" s="89"/>
      <c r="Q41" s="68"/>
      <c r="R41" s="69"/>
    </row>
    <row r="42" spans="1:19">
      <c r="A42" s="84" t="s">
        <v>65</v>
      </c>
      <c r="B42" s="85" t="s">
        <v>209</v>
      </c>
      <c r="C42" s="86" t="s">
        <v>210</v>
      </c>
      <c r="D42" s="87" t="s">
        <v>249</v>
      </c>
      <c r="E42" s="68">
        <v>20</v>
      </c>
      <c r="F42" s="80">
        <v>0</v>
      </c>
      <c r="G42" s="80">
        <f>E42*G54</f>
        <v>600</v>
      </c>
      <c r="H42" s="88">
        <f t="shared" si="8"/>
        <v>600</v>
      </c>
      <c r="I42" s="68" t="e">
        <f>#REF!</f>
        <v>#REF!</v>
      </c>
      <c r="J42" s="80">
        <v>0</v>
      </c>
      <c r="K42" s="80" t="e">
        <f>I42*G54</f>
        <v>#REF!</v>
      </c>
      <c r="L42" s="80" t="e">
        <f t="shared" si="9"/>
        <v>#REF!</v>
      </c>
      <c r="M42" s="81" t="e">
        <f t="shared" si="10"/>
        <v>#REF!</v>
      </c>
      <c r="N42" s="10" t="e">
        <f t="shared" si="11"/>
        <v>#REF!</v>
      </c>
      <c r="P42" s="89"/>
      <c r="Q42" s="68"/>
      <c r="R42" s="69"/>
    </row>
    <row r="43" spans="1:19">
      <c r="A43" s="84" t="s">
        <v>67</v>
      </c>
      <c r="B43" s="85" t="s">
        <v>255</v>
      </c>
      <c r="C43" s="90" t="s">
        <v>213</v>
      </c>
      <c r="D43" s="87" t="s">
        <v>250</v>
      </c>
      <c r="E43" s="68">
        <v>50</v>
      </c>
      <c r="F43" s="80">
        <v>0</v>
      </c>
      <c r="G43" s="80">
        <f>E43*G53</f>
        <v>2250</v>
      </c>
      <c r="H43" s="88">
        <f t="shared" si="8"/>
        <v>2250</v>
      </c>
      <c r="I43" s="68" t="e">
        <f>#REF!</f>
        <v>#REF!</v>
      </c>
      <c r="J43" s="80">
        <v>0</v>
      </c>
      <c r="K43" s="80" t="e">
        <f>I43*G53</f>
        <v>#REF!</v>
      </c>
      <c r="L43" s="80" t="e">
        <f t="shared" si="9"/>
        <v>#REF!</v>
      </c>
      <c r="M43" s="81" t="e">
        <f t="shared" si="10"/>
        <v>#REF!</v>
      </c>
      <c r="N43" s="10" t="e">
        <f t="shared" si="11"/>
        <v>#REF!</v>
      </c>
      <c r="P43" s="89"/>
      <c r="Q43" s="68"/>
      <c r="R43" s="69"/>
    </row>
    <row r="44" spans="1:19">
      <c r="A44" s="84" t="s">
        <v>256</v>
      </c>
      <c r="B44" s="85" t="s">
        <v>257</v>
      </c>
      <c r="C44" s="86" t="s">
        <v>210</v>
      </c>
      <c r="D44" s="87" t="s">
        <v>249</v>
      </c>
      <c r="E44" s="68">
        <v>50</v>
      </c>
      <c r="F44" s="80">
        <v>0</v>
      </c>
      <c r="G44" s="80">
        <f>E44*G53</f>
        <v>2250</v>
      </c>
      <c r="H44" s="88">
        <f t="shared" si="8"/>
        <v>2250</v>
      </c>
      <c r="I44" s="68" t="e">
        <f>#REF!</f>
        <v>#REF!</v>
      </c>
      <c r="J44" s="80">
        <v>0</v>
      </c>
      <c r="K44" s="80" t="e">
        <f>I44*G53</f>
        <v>#REF!</v>
      </c>
      <c r="L44" s="80" t="e">
        <f t="shared" si="9"/>
        <v>#REF!</v>
      </c>
      <c r="M44" s="81" t="e">
        <f t="shared" si="10"/>
        <v>#REF!</v>
      </c>
      <c r="N44" s="10" t="e">
        <f t="shared" si="11"/>
        <v>#REF!</v>
      </c>
      <c r="P44" s="89"/>
      <c r="Q44" s="68"/>
      <c r="R44" s="69"/>
    </row>
    <row r="45" spans="1:19">
      <c r="A45" s="84" t="s">
        <v>69</v>
      </c>
      <c r="B45" s="85" t="s">
        <v>257</v>
      </c>
      <c r="C45" s="91" t="s">
        <v>215</v>
      </c>
      <c r="D45" s="87" t="s">
        <v>253</v>
      </c>
      <c r="E45" s="68">
        <v>50</v>
      </c>
      <c r="F45" s="80">
        <v>0</v>
      </c>
      <c r="G45" s="80">
        <f>E45*G54</f>
        <v>1500</v>
      </c>
      <c r="H45" s="88">
        <f t="shared" si="8"/>
        <v>1500</v>
      </c>
      <c r="I45" s="68" t="e">
        <f>#REF!</f>
        <v>#REF!</v>
      </c>
      <c r="J45" s="80">
        <v>0</v>
      </c>
      <c r="K45" s="80" t="e">
        <f>I45*G53</f>
        <v>#REF!</v>
      </c>
      <c r="L45" s="80" t="e">
        <f t="shared" si="9"/>
        <v>#REF!</v>
      </c>
      <c r="M45" s="81" t="e">
        <f t="shared" si="10"/>
        <v>#REF!</v>
      </c>
      <c r="N45" s="10" t="e">
        <f t="shared" si="11"/>
        <v>#REF!</v>
      </c>
      <c r="P45" s="89"/>
      <c r="Q45" s="68"/>
      <c r="R45" s="69"/>
    </row>
    <row r="46" spans="1:19">
      <c r="A46" s="92" t="s">
        <v>69</v>
      </c>
      <c r="B46" s="85" t="s">
        <v>216</v>
      </c>
      <c r="C46" s="93" t="s">
        <v>258</v>
      </c>
      <c r="D46" s="87" t="s">
        <v>259</v>
      </c>
      <c r="E46" s="68">
        <v>100</v>
      </c>
      <c r="F46" s="80">
        <v>0</v>
      </c>
      <c r="G46" s="80">
        <f>E46*G55</f>
        <v>2000</v>
      </c>
      <c r="H46" s="88">
        <f t="shared" si="8"/>
        <v>2000</v>
      </c>
      <c r="I46" s="68">
        <f t="shared" ref="I46:I47" si="12">P11</f>
        <v>39</v>
      </c>
      <c r="J46" s="80">
        <v>0</v>
      </c>
      <c r="K46" s="80">
        <v>0</v>
      </c>
      <c r="L46" s="80">
        <f t="shared" si="9"/>
        <v>0</v>
      </c>
      <c r="M46" s="81">
        <f t="shared" si="10"/>
        <v>2000</v>
      </c>
      <c r="N46" s="10">
        <f t="shared" si="11"/>
        <v>139</v>
      </c>
      <c r="P46" s="89"/>
      <c r="Q46" s="68"/>
      <c r="R46" s="69"/>
    </row>
    <row r="47" spans="1:19" ht="17" thickBot="1">
      <c r="A47" s="94" t="s">
        <v>70</v>
      </c>
      <c r="B47" s="95" t="s">
        <v>218</v>
      </c>
      <c r="C47" s="96" t="s">
        <v>260</v>
      </c>
      <c r="D47" s="97" t="s">
        <v>248</v>
      </c>
      <c r="E47" s="98">
        <v>150</v>
      </c>
      <c r="F47" s="99">
        <v>0</v>
      </c>
      <c r="G47" s="99">
        <f>E47*G54</f>
        <v>4500</v>
      </c>
      <c r="H47" s="100">
        <f t="shared" si="8"/>
        <v>4500</v>
      </c>
      <c r="I47" s="68">
        <f t="shared" si="12"/>
        <v>32</v>
      </c>
      <c r="J47" s="80">
        <v>0</v>
      </c>
      <c r="K47" s="80">
        <f>I47*G56</f>
        <v>1600</v>
      </c>
      <c r="L47" s="80">
        <f t="shared" si="9"/>
        <v>1600</v>
      </c>
      <c r="M47" s="81">
        <f t="shared" si="10"/>
        <v>6100</v>
      </c>
      <c r="N47" s="10">
        <f t="shared" si="11"/>
        <v>182</v>
      </c>
      <c r="P47" s="101">
        <f>N47*10</f>
        <v>1820</v>
      </c>
      <c r="Q47" s="101">
        <v>2000</v>
      </c>
      <c r="R47" s="102">
        <f>13*800</f>
        <v>10400</v>
      </c>
    </row>
    <row r="48" spans="1:19">
      <c r="C48" s="17"/>
      <c r="D48" s="103"/>
      <c r="E48" s="68"/>
      <c r="F48" s="68"/>
      <c r="G48" s="68"/>
      <c r="H48" s="68"/>
      <c r="I48" s="68"/>
      <c r="J48" s="68"/>
      <c r="K48" s="68"/>
      <c r="L48" s="68"/>
      <c r="M48" s="81" t="e">
        <f>SUM(M31:M47)</f>
        <v>#REF!</v>
      </c>
      <c r="P48" s="81"/>
      <c r="Q48" s="40"/>
      <c r="R48" s="40"/>
      <c r="S48" s="40"/>
    </row>
    <row r="49" spans="2:19">
      <c r="C49" s="17"/>
      <c r="D49" s="103"/>
      <c r="E49" s="68"/>
      <c r="F49" s="68"/>
      <c r="G49" s="68"/>
      <c r="H49" s="68"/>
      <c r="I49" s="239"/>
      <c r="J49" s="239"/>
      <c r="K49" s="104"/>
      <c r="L49" s="68"/>
      <c r="M49" s="40"/>
      <c r="P49" s="40"/>
      <c r="Q49" s="40"/>
      <c r="R49" s="40"/>
      <c r="S49" s="40"/>
    </row>
    <row r="50" spans="2:19" ht="17" thickBot="1">
      <c r="C50" s="17"/>
      <c r="D50" s="103"/>
      <c r="E50" s="68"/>
      <c r="F50" s="68"/>
      <c r="G50" s="68"/>
      <c r="H50" s="68"/>
      <c r="I50" s="239"/>
      <c r="J50" s="239"/>
      <c r="K50" s="104"/>
      <c r="L50" s="68"/>
      <c r="M50" s="40"/>
      <c r="P50" s="40"/>
      <c r="Q50" s="40"/>
      <c r="R50" s="40"/>
      <c r="S50" s="40"/>
    </row>
    <row r="51" spans="2:19" ht="17" thickBot="1">
      <c r="B51" s="105" t="s">
        <v>178</v>
      </c>
      <c r="C51" s="106"/>
      <c r="D51" s="103"/>
      <c r="E51" s="242" t="s">
        <v>261</v>
      </c>
      <c r="F51" s="243"/>
      <c r="G51" s="244"/>
      <c r="H51" s="68"/>
      <c r="I51" s="63"/>
      <c r="J51" s="68"/>
      <c r="K51" s="104"/>
      <c r="L51" s="68"/>
      <c r="M51" s="63"/>
      <c r="N51" s="63"/>
      <c r="P51" s="40"/>
      <c r="Q51" s="40"/>
      <c r="R51" s="40"/>
      <c r="S51" s="40"/>
    </row>
    <row r="52" spans="2:19" ht="17" thickTop="1">
      <c r="B52" s="107" t="s">
        <v>262</v>
      </c>
      <c r="C52" s="108" t="e">
        <f>M32+M36+M39+M42+M44</f>
        <v>#REF!</v>
      </c>
      <c r="D52" s="103"/>
      <c r="E52" s="245" t="s">
        <v>263</v>
      </c>
      <c r="F52" s="246"/>
      <c r="G52" s="109">
        <v>60</v>
      </c>
      <c r="H52" s="68"/>
      <c r="I52" s="63"/>
      <c r="J52" s="68"/>
      <c r="K52" s="68"/>
      <c r="L52" s="68"/>
      <c r="M52" s="63"/>
      <c r="N52" s="63"/>
      <c r="P52" s="40"/>
      <c r="Q52" s="40"/>
      <c r="R52" s="40"/>
      <c r="S52" s="40"/>
    </row>
    <row r="53" spans="2:19">
      <c r="B53" s="107" t="s">
        <v>184</v>
      </c>
      <c r="C53" s="108" t="e">
        <f>M35+M38+M41+M45</f>
        <v>#REF!</v>
      </c>
      <c r="D53" s="103"/>
      <c r="E53" s="231" t="s">
        <v>264</v>
      </c>
      <c r="F53" s="247"/>
      <c r="G53" s="110">
        <v>45</v>
      </c>
      <c r="H53" s="68"/>
      <c r="I53" s="63"/>
      <c r="J53" s="68"/>
      <c r="K53" s="68"/>
      <c r="L53" s="68"/>
      <c r="M53" s="63"/>
      <c r="N53" s="63"/>
      <c r="P53" s="40"/>
      <c r="Q53" s="40"/>
      <c r="R53" s="40"/>
      <c r="S53" s="40"/>
    </row>
    <row r="54" spans="2:19">
      <c r="B54" s="107" t="s">
        <v>265</v>
      </c>
      <c r="C54" s="108" t="e">
        <f>M33+M34+M37+M40+M43</f>
        <v>#REF!</v>
      </c>
      <c r="D54" s="103"/>
      <c r="E54" s="248" t="s">
        <v>266</v>
      </c>
      <c r="F54" s="249"/>
      <c r="G54" s="111">
        <v>30</v>
      </c>
      <c r="H54" s="68"/>
      <c r="I54" s="63"/>
      <c r="M54" s="40"/>
      <c r="P54" s="40"/>
      <c r="Q54" s="40"/>
      <c r="R54" s="40"/>
      <c r="S54" s="40"/>
    </row>
    <row r="55" spans="2:19" ht="17" thickBot="1">
      <c r="B55" s="112" t="s">
        <v>10</v>
      </c>
      <c r="C55" s="113">
        <f>M31+M46+M47+P47+Q47+R47</f>
        <v>30540</v>
      </c>
      <c r="D55" s="103"/>
      <c r="E55" s="250" t="s">
        <v>267</v>
      </c>
      <c r="F55" s="251"/>
      <c r="G55" s="114">
        <v>20</v>
      </c>
      <c r="H55" s="68"/>
      <c r="I55" s="63"/>
      <c r="M55" s="40"/>
      <c r="P55" s="40"/>
      <c r="Q55" s="40"/>
      <c r="R55" s="40"/>
      <c r="S55" s="40"/>
    </row>
    <row r="56" spans="2:19" ht="17" thickBot="1">
      <c r="B56" s="115"/>
      <c r="C56" s="116" t="e">
        <f>SUM(C51:C55)</f>
        <v>#REF!</v>
      </c>
      <c r="D56" s="103"/>
      <c r="E56" s="230" t="s">
        <v>268</v>
      </c>
      <c r="F56" s="231"/>
      <c r="G56" s="114">
        <v>50</v>
      </c>
      <c r="H56" s="68"/>
      <c r="I56" s="63"/>
      <c r="M56" s="81"/>
      <c r="P56" s="40"/>
      <c r="Q56" s="40"/>
      <c r="R56" s="40"/>
      <c r="S56" s="40"/>
    </row>
    <row r="57" spans="2:19">
      <c r="B57" s="115"/>
      <c r="C57" s="17"/>
      <c r="D57" s="103"/>
      <c r="H57" s="68"/>
      <c r="I57" s="117"/>
      <c r="J57" s="68"/>
      <c r="K57" s="68"/>
      <c r="L57" s="68"/>
      <c r="M57" s="40"/>
      <c r="P57" s="40"/>
      <c r="Q57" s="40"/>
      <c r="R57" s="40"/>
      <c r="S57" s="40"/>
    </row>
    <row r="58" spans="2:19">
      <c r="C58" s="17"/>
      <c r="D58" s="103"/>
      <c r="H58" s="68"/>
      <c r="I58" s="63"/>
      <c r="K58" s="68"/>
      <c r="L58" s="68"/>
      <c r="M58" s="81"/>
      <c r="P58" s="40"/>
      <c r="Q58" s="40"/>
      <c r="R58" s="40"/>
      <c r="S58" s="40"/>
    </row>
    <row r="59" spans="2:19">
      <c r="B59" s="21" t="s">
        <v>269</v>
      </c>
      <c r="C59" s="118">
        <v>17</v>
      </c>
      <c r="E59" s="119"/>
      <c r="H59" s="68"/>
      <c r="I59" s="63"/>
      <c r="K59" s="68"/>
      <c r="L59" s="68"/>
      <c r="M59" s="40"/>
      <c r="P59" s="40"/>
      <c r="Q59" s="40"/>
      <c r="R59" s="40"/>
      <c r="S59" s="40"/>
    </row>
    <row r="60" spans="2:19">
      <c r="B60" s="120" t="s">
        <v>270</v>
      </c>
      <c r="C60" s="121" t="e">
        <f>M48+P48+P15+T15+T16</f>
        <v>#REF!</v>
      </c>
      <c r="E60" s="61"/>
      <c r="H60" s="68"/>
      <c r="I60" s="68"/>
      <c r="K60" s="68"/>
      <c r="L60" s="68"/>
      <c r="M60" s="40"/>
      <c r="P60" s="40"/>
      <c r="Q60" s="40"/>
      <c r="R60" s="40"/>
      <c r="S60" s="40"/>
    </row>
    <row r="61" spans="2:19">
      <c r="B61" s="120" t="s">
        <v>271</v>
      </c>
      <c r="C61" s="121" t="e">
        <f>C60/C59</f>
        <v>#REF!</v>
      </c>
      <c r="E61" s="122"/>
      <c r="F61" s="68"/>
      <c r="G61" s="68"/>
      <c r="H61" s="68"/>
      <c r="I61" s="68"/>
      <c r="J61" s="68"/>
      <c r="K61" s="68"/>
      <c r="L61" s="68"/>
      <c r="M61" s="40"/>
      <c r="P61" s="40"/>
      <c r="Q61" s="40"/>
      <c r="R61" s="40"/>
      <c r="S61" s="40"/>
    </row>
    <row r="62" spans="2:19">
      <c r="E62" s="61"/>
    </row>
    <row r="66" spans="2:5">
      <c r="B66" s="63"/>
      <c r="E66" s="63"/>
    </row>
    <row r="67" spans="2:5">
      <c r="B67" s="63"/>
      <c r="E67" s="63"/>
    </row>
    <row r="68" spans="2:5">
      <c r="B68" s="63"/>
      <c r="E68" s="63"/>
    </row>
    <row r="69" spans="2:5">
      <c r="B69" s="63"/>
    </row>
    <row r="70" spans="2:5">
      <c r="B70" s="63"/>
    </row>
    <row r="71" spans="2:5">
      <c r="B71" s="63"/>
    </row>
    <row r="72" spans="2:5">
      <c r="B72" s="63"/>
    </row>
    <row r="73" spans="2:5">
      <c r="B73" s="63"/>
    </row>
    <row r="74" spans="2:5">
      <c r="B74" s="63"/>
    </row>
  </sheetData>
  <mergeCells count="18">
    <mergeCell ref="B2:C2"/>
    <mergeCell ref="F18:G18"/>
    <mergeCell ref="F19:G19"/>
    <mergeCell ref="F20:G20"/>
    <mergeCell ref="B27:C27"/>
    <mergeCell ref="E56:F56"/>
    <mergeCell ref="I28:L29"/>
    <mergeCell ref="P28:R29"/>
    <mergeCell ref="M29:M30"/>
    <mergeCell ref="N29:N30"/>
    <mergeCell ref="I49:J49"/>
    <mergeCell ref="I50:J50"/>
    <mergeCell ref="E28:H29"/>
    <mergeCell ref="E51:G51"/>
    <mergeCell ref="E52:F52"/>
    <mergeCell ref="E53:F53"/>
    <mergeCell ref="E54:F54"/>
    <mergeCell ref="E55:F55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65fdcb0-1e46-40b7-8ee4-da613505848c">
      <Terms xmlns="http://schemas.microsoft.com/office/infopath/2007/PartnerControls"/>
    </lcf76f155ced4ddcb4097134ff3c332f>
    <TaxCatchAll xmlns="f31befcd-2eae-4f0c-856b-b321f7866d5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37A507412C494F9CB673CBA8DE23E4" ma:contentTypeVersion="19" ma:contentTypeDescription="Crear nuevo documento." ma:contentTypeScope="" ma:versionID="071ce18ae2967f63fe4dad19769fce89">
  <xsd:schema xmlns:xsd="http://www.w3.org/2001/XMLSchema" xmlns:xs="http://www.w3.org/2001/XMLSchema" xmlns:p="http://schemas.microsoft.com/office/2006/metadata/properties" xmlns:ns2="865fdcb0-1e46-40b7-8ee4-da613505848c" xmlns:ns3="f31befcd-2eae-4f0c-856b-b321f7866d5e" targetNamespace="http://schemas.microsoft.com/office/2006/metadata/properties" ma:root="true" ma:fieldsID="6c289a01ed893a42af635b36034f92af" ns2:_="" ns3:_="">
    <xsd:import namespace="865fdcb0-1e46-40b7-8ee4-da613505848c"/>
    <xsd:import namespace="f31befcd-2eae-4f0c-856b-b321f7866d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5fdcb0-1e46-40b7-8ee4-da61350584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927625b0-a6bd-49c7-a628-63ba87c8e4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1befcd-2eae-4f0c-856b-b321f7866d5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6e3a8be-699c-43be-910d-b595aec93283}" ma:internalName="TaxCatchAll" ma:showField="CatchAllData" ma:web="f31befcd-2eae-4f0c-856b-b321f7866d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865E65-22BE-4213-9056-BEAC9C872E6A}">
  <ds:schemaRefs>
    <ds:schemaRef ds:uri="http://schemas.microsoft.com/office/2006/documentManagement/types"/>
    <ds:schemaRef ds:uri="http://purl.org/dc/elements/1.1/"/>
    <ds:schemaRef ds:uri="f31befcd-2eae-4f0c-856b-b321f7866d5e"/>
    <ds:schemaRef ds:uri="865fdcb0-1e46-40b7-8ee4-da613505848c"/>
    <ds:schemaRef ds:uri="http://schemas.microsoft.com/office/2006/metadata/properties"/>
    <ds:schemaRef ds:uri="http://www.w3.org/XML/1998/namespace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ED16C03-BB36-4A66-B15F-A75665005D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AB4229-6DD0-4691-A34E-B4B0F878F6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budget</vt:lpstr>
      <vt:lpstr>gantt</vt:lpstr>
      <vt:lpstr>INPUTS</vt:lpstr>
      <vt:lpstr>TRAVEL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Mireia</dc:creator>
  <cp:keywords/>
  <dc:description/>
  <cp:lastModifiedBy>Mireia Manent Blanch</cp:lastModifiedBy>
  <cp:revision/>
  <dcterms:created xsi:type="dcterms:W3CDTF">2010-12-23T11:34:36Z</dcterms:created>
  <dcterms:modified xsi:type="dcterms:W3CDTF">2026-04-15T04:48:22Z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0x0101007F37A507412C494F9CB673CBA8DE23E4</vt:lpwstr>
  </property>
  <property fmtid="{D5CDD505-2E9C-101B-9397-08002B2CF9AE}" pid="3" name="Order">
    <vt:r8>206000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